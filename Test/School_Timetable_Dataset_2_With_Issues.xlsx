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hool_Config" sheetId="2" state="visible" r:id="rId4"/>
    <sheet name="Sections" sheetId="3" state="visible" r:id="rId5"/>
    <sheet name="Subjects" sheetId="4" state="visible" r:id="rId6"/>
    <sheet name="Teachers" sheetId="5" state="visible" r:id="rId7"/>
    <sheet name="Requirements" sheetId="6" state="visible" r:id="rId8"/>
    <sheet name="Rooms" sheetId="7" state="visible" r:id="rId9"/>
    <sheet name="Demand_vs_Supply" sheetId="8" state="visible" r:id="rId10"/>
    <sheet name="Room_Check" sheetId="9" state="visible" r:id="rId11"/>
    <sheet name="Known_Issues" sheetId="10" state="visible" r:id="rId12"/>
  </sheets>
  <definedNames>
    <definedName function="false" hidden="true" localSheetId="9" name="_xlnm._FilterDatabase" vbProcedure="false">Known_Issues!$A$1:$G$24</definedName>
    <definedName function="false" hidden="true" localSheetId="5" name="_xlnm._FilterDatabase" vbProcedure="false">Requirements!$A$1:$L$588</definedName>
    <definedName function="false" hidden="true" localSheetId="6" name="_xlnm._FilterDatabase" vbProcedure="false">Rooms!$A$1:$H$68</definedName>
    <definedName function="false" hidden="true" localSheetId="2" name="_xlnm._FilterDatabase" vbProcedure="false">Sections!$A$1:$M$56</definedName>
    <definedName function="false" hidden="true" localSheetId="3" name="_xlnm._FilterDatabase" vbProcedure="false">Subjects!$A$1:$H$26</definedName>
    <definedName function="false" hidden="true" localSheetId="4" name="_xlnm._FilterDatabase" vbProcedure="false">Teachers!$A$1:$Q$100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<sst xmlns="http://schemas.openxmlformats.org/spreadsheetml/2006/main" count="7976" uniqueCount="1489">
  <si>
    <t xml:space="preserve">School Timetable Dataset - Greenwood Public School (fictional)</t>
  </si>
  <si>
    <t xml:space="preserve">Nursery to Class 12, Academic Year 2026-27. Built as realistic test data for a timetable website, with deliberate teacher and room problems.</t>
  </si>
  <si>
    <t xml:space="preserve">Quick facts (live formulas)</t>
  </si>
  <si>
    <t xml:space="preserve">Sections</t>
  </si>
  <si>
    <t xml:space="preserve">Students</t>
  </si>
  <si>
    <t xml:space="preserve">Teachers on roll</t>
  </si>
  <si>
    <t xml:space="preserve">Teachers not active (on leave)</t>
  </si>
  <si>
    <t xml:space="preserve">Subjects</t>
  </si>
  <si>
    <t xml:space="preserve">Rooms (incl. labs)</t>
  </si>
  <si>
    <t xml:space="preserve">Lesson requirement rows</t>
  </si>
  <si>
    <t xml:space="preserve">Total periods needed per week</t>
  </si>
  <si>
    <t xml:space="preserve">Subject-groups with SHORTAGE</t>
  </si>
  <si>
    <t xml:space="preserve">Subject-groups TIGHT</t>
  </si>
  <si>
    <t xml:space="preserve">Subject-groups SURPLUS</t>
  </si>
  <si>
    <t xml:space="preserve">Sheets</t>
  </si>
  <si>
    <t xml:space="preserve">Sheet</t>
  </si>
  <si>
    <t xml:space="preserve">What it contains</t>
  </si>
  <si>
    <t xml:space="preserve">School_Config</t>
  </si>
  <si>
    <t xml:space="preserve">Working days, periods per day, bell timings and standard teacher load limits per designation.</t>
  </si>
  <si>
    <t xml:space="preserve">All 55 sections with class, stream, strength, home room and class teacher.</t>
  </si>
  <si>
    <t xml:space="preserve">25 subjects with category, room type and who teaches them.</t>
  </si>
  <si>
    <t xml:space="preserve">Teachers</t>
  </si>
  <si>
    <t xml:space="preserve">99 teachers: designation, primary and secondary subject, wings, availability, weekly and daily limits, status, class-teacher duty.</t>
  </si>
  <si>
    <t xml:space="preserve">Requirements</t>
  </si>
  <si>
    <t xml:space="preserve">One row per section per subject: periods per week, double periods, max per day, teacher group and room type. This is the main input for a timetable generator.</t>
  </si>
  <si>
    <t xml:space="preserve">Rooms</t>
  </si>
  <si>
    <t xml:space="preserve">Home classrooms plus labs, library, ground and activity rooms with capacity.</t>
  </si>
  <si>
    <t xml:space="preserve">Demand_vs_Supply</t>
  </si>
  <si>
    <t xml:space="preserve">Formula sheet comparing periods needed against teacher capacity for every subject and teacher group, with SHORTAGE / TIGHT / BALANCED / SURPLUS flags.</t>
  </si>
  <si>
    <t xml:space="preserve">Room_Check</t>
  </si>
  <si>
    <t xml:space="preserve">Formula sheet comparing mandatory-room lessons against room slot capacity.</t>
  </si>
  <si>
    <t xml:space="preserve">Known_Issues</t>
  </si>
  <si>
    <t xml:space="preserve">Every deliberate problem hidden in the data with numbers and what the website should do about it.</t>
  </si>
  <si>
    <t xml:space="preserve">How the tables link</t>
  </si>
  <si>
    <t xml:space="preserve">  Sections.Class_Teacher_ID -&gt; Teachers.Teacher_ID</t>
  </si>
  <si>
    <t xml:space="preserve">  Sections.Home_Room_ID -&gt; Rooms.Room_ID</t>
  </si>
  <si>
    <t xml:space="preserve">  Requirements.Section_ID -&gt; Sections.Section_ID</t>
  </si>
  <si>
    <t xml:space="preserve">  Requirements.Subject_ID -&gt; Subjects.Subject_ID</t>
  </si>
  <si>
    <t xml:space="preserve">  Teachers.Primary_Subject / Secondary_Subject -&gt; Subjects.Subject_ID</t>
  </si>
  <si>
    <t xml:space="preserve">  Teachers.Class_Teacher_Of -&gt; Sections.Section_ID</t>
  </si>
  <si>
    <t xml:space="preserve">  Requirements.Teacher_Group = Teachers.Designation (which pool of teachers can take the lesson)</t>
  </si>
  <si>
    <t xml:space="preserve">Assumptions</t>
  </si>
  <si>
    <t xml:space="preserve">-</t>
  </si>
  <si>
    <t xml:space="preserve">Data sheets (Sections, Subjects, Teachers, Requirements, Rooms) hold plain values so they export cleanly to CSV or JSON. Only README facts, Demand_vs_Supply and Room_Check use formulas.</t>
  </si>
  <si>
    <t xml:space="preserve">Every section's weekly requirements add up exactly to its weekly slots (30 for Pre-Primary, 42 for Class 1-5, 48 for Class 6-12).</t>
  </si>
  <si>
    <t xml:space="preserve">Supply counts a teacher only under their Primary_Subject. Secondary_Subject is spare flexibility the app can use to fix shortages.</t>
  </si>
  <si>
    <t xml:space="preserve">Max_Periods_Week and Max_Periods_Day are standard limits (see School_Config), lower for part-time and visiting staff. They are assumptions, not CBSE rules.</t>
  </si>
  <si>
    <t xml:space="preserve">Value Education / Class Teacher Period is not counted in subject supply because the class teacher always takes it.</t>
  </si>
  <si>
    <t xml:space="preserve">All names, the school and the numbers are made up. Today's date used for Status_Till reasoning: 24-Oct-2026.</t>
  </si>
  <si>
    <t xml:space="preserve">Colour guide on Teachers sheet: orange row = not active, yellow row = active but leaving soon.</t>
  </si>
  <si>
    <t xml:space="preserve">School configuration - Greenwood Public School (fictional), Academic Year 2026-27</t>
  </si>
  <si>
    <t xml:space="preserve">1. Weekly structure by wing</t>
  </si>
  <si>
    <t xml:space="preserve">Wing</t>
  </si>
  <si>
    <t xml:space="preserve">Classes</t>
  </si>
  <si>
    <t xml:space="preserve">Working_Days</t>
  </si>
  <si>
    <t xml:space="preserve">Days_Per_Week</t>
  </si>
  <si>
    <t xml:space="preserve">Periods_Per_Day</t>
  </si>
  <si>
    <t xml:space="preserve">Weekly_Slots</t>
  </si>
  <si>
    <t xml:space="preserve">Day_Ends</t>
  </si>
  <si>
    <t xml:space="preserve">Pre-Primary</t>
  </si>
  <si>
    <t xml:space="preserve">Nursery, LKG, UKG</t>
  </si>
  <si>
    <t xml:space="preserve">Mon-Fri</t>
  </si>
  <si>
    <t xml:space="preserve">12:20</t>
  </si>
  <si>
    <t xml:space="preserve">Primary</t>
  </si>
  <si>
    <t xml:space="preserve">Class 1-5</t>
  </si>
  <si>
    <t xml:space="preserve">Mon-Sat</t>
  </si>
  <si>
    <t xml:space="preserve">13:30</t>
  </si>
  <si>
    <t xml:space="preserve">Middle</t>
  </si>
  <si>
    <t xml:space="preserve">Class 6-8</t>
  </si>
  <si>
    <t xml:space="preserve">14:10</t>
  </si>
  <si>
    <t xml:space="preserve">Secondary</t>
  </si>
  <si>
    <t xml:space="preserve">Class 9-10</t>
  </si>
  <si>
    <t xml:space="preserve">Senior Secondary</t>
  </si>
  <si>
    <t xml:space="preserve">Class 11-12</t>
  </si>
  <si>
    <t xml:space="preserve">2. Bell schedule (every period is 40 minutes)</t>
  </si>
  <si>
    <t xml:space="preserve">Slot</t>
  </si>
  <si>
    <t xml:space="preserve">Start</t>
  </si>
  <si>
    <t xml:space="preserve">End</t>
  </si>
  <si>
    <t xml:space="preserve">Used_By</t>
  </si>
  <si>
    <t xml:space="preserve">P1</t>
  </si>
  <si>
    <t xml:space="preserve">08:00</t>
  </si>
  <si>
    <t xml:space="preserve">08:40</t>
  </si>
  <si>
    <t xml:space="preserve">All wings</t>
  </si>
  <si>
    <t xml:space="preserve">P2</t>
  </si>
  <si>
    <t xml:space="preserve">09:20</t>
  </si>
  <si>
    <t xml:space="preserve">P3</t>
  </si>
  <si>
    <t xml:space="preserve">10:00</t>
  </si>
  <si>
    <t xml:space="preserve">Short Break</t>
  </si>
  <si>
    <t xml:space="preserve">10:20</t>
  </si>
  <si>
    <t xml:space="preserve">P4</t>
  </si>
  <si>
    <t xml:space="preserve">11:00</t>
  </si>
  <si>
    <t xml:space="preserve">P5</t>
  </si>
  <si>
    <t xml:space="preserve">11:40</t>
  </si>
  <si>
    <t xml:space="preserve">P6</t>
  </si>
  <si>
    <t xml:space="preserve">All wings (Pre-Primary leaves after P6)</t>
  </si>
  <si>
    <t xml:space="preserve">Lunch Break</t>
  </si>
  <si>
    <t xml:space="preserve">12:50</t>
  </si>
  <si>
    <t xml:space="preserve">Class 1 and above</t>
  </si>
  <si>
    <t xml:space="preserve">P7</t>
  </si>
  <si>
    <t xml:space="preserve">P8</t>
  </si>
  <si>
    <t xml:space="preserve">Class 6 and above</t>
  </si>
  <si>
    <t xml:space="preserve">3. Teacher groups and standard load limits</t>
  </si>
  <si>
    <t xml:space="preserve">Designation</t>
  </si>
  <si>
    <t xml:space="preserve">Meaning</t>
  </si>
  <si>
    <t xml:space="preserve">Classes_Taught</t>
  </si>
  <si>
    <t xml:space="preserve">Max_Periods_Week</t>
  </si>
  <si>
    <t xml:space="preserve">Max_Periods_Day</t>
  </si>
  <si>
    <t xml:space="preserve">Usual_Days</t>
  </si>
  <si>
    <t xml:space="preserve">NTT</t>
  </si>
  <si>
    <t xml:space="preserve">Nursery Teacher (class teacher of a pre-primary section)</t>
  </si>
  <si>
    <t xml:space="preserve">Nursery-UKG</t>
  </si>
  <si>
    <t xml:space="preserve">PRT</t>
  </si>
  <si>
    <t xml:space="preserve">Primary Teacher</t>
  </si>
  <si>
    <t xml:space="preserve">TGT</t>
  </si>
  <si>
    <t xml:space="preserve">Trained Graduate Teacher</t>
  </si>
  <si>
    <t xml:space="preserve">Class 6-10 (Computer: Class 1-10)</t>
  </si>
  <si>
    <t xml:space="preserve">PGT</t>
  </si>
  <si>
    <t xml:space="preserve">Post Graduate Teacher</t>
  </si>
  <si>
    <t xml:space="preserve">Specialist</t>
  </si>
  <si>
    <t xml:space="preserve">Art, Music, Dance, Physical Education, Library</t>
  </si>
  <si>
    <t xml:space="preserve">Across wings</t>
  </si>
  <si>
    <t xml:space="preserve">Max_Periods_Week counts subject periods only. The class-teacher period (Value Education / Circle Time) is extra and always taken by the section's own class teacher.</t>
  </si>
  <si>
    <t xml:space="preserve">Section_ID</t>
  </si>
  <si>
    <t xml:space="preserve">Class_Name</t>
  </si>
  <si>
    <t xml:space="preserve">Class_Order</t>
  </si>
  <si>
    <t xml:space="preserve">Section</t>
  </si>
  <si>
    <t xml:space="preserve">Stream</t>
  </si>
  <si>
    <t xml:space="preserve">Strength</t>
  </si>
  <si>
    <t xml:space="preserve">Home_Room_ID</t>
  </si>
  <si>
    <t xml:space="preserve">Class_Teacher_ID</t>
  </si>
  <si>
    <t xml:space="preserve">Class_Teacher_Name</t>
  </si>
  <si>
    <t xml:space="preserve">NUR-A</t>
  </si>
  <si>
    <t xml:space="preserve">Nursery</t>
  </si>
  <si>
    <t xml:space="preserve">A</t>
  </si>
  <si>
    <t xml:space="preserve">General</t>
  </si>
  <si>
    <t xml:space="preserve">A-101</t>
  </si>
  <si>
    <t xml:space="preserve">T043</t>
  </si>
  <si>
    <t xml:space="preserve">Ruchi Ghosh</t>
  </si>
  <si>
    <t xml:space="preserve">NUR-B</t>
  </si>
  <si>
    <t xml:space="preserve">B</t>
  </si>
  <si>
    <t xml:space="preserve">A-102</t>
  </si>
  <si>
    <t xml:space="preserve">T054</t>
  </si>
  <si>
    <t xml:space="preserve">Garima Tandon</t>
  </si>
  <si>
    <t xml:space="preserve">LKG-A</t>
  </si>
  <si>
    <t xml:space="preserve">LKG</t>
  </si>
  <si>
    <t xml:space="preserve">A-103</t>
  </si>
  <si>
    <t xml:space="preserve">T064</t>
  </si>
  <si>
    <t xml:space="preserve">Jyoti Nair</t>
  </si>
  <si>
    <t xml:space="preserve">LKG-B</t>
  </si>
  <si>
    <t xml:space="preserve">A-104</t>
  </si>
  <si>
    <t xml:space="preserve">T073</t>
  </si>
  <si>
    <t xml:space="preserve">Harleen Pandey</t>
  </si>
  <si>
    <t xml:space="preserve">LKG-C</t>
  </si>
  <si>
    <t xml:space="preserve">C</t>
  </si>
  <si>
    <t xml:space="preserve">A-105</t>
  </si>
  <si>
    <t xml:space="preserve">T078</t>
  </si>
  <si>
    <t xml:space="preserve">Garima Malhotra</t>
  </si>
  <si>
    <t xml:space="preserve">UKG-A</t>
  </si>
  <si>
    <t xml:space="preserve">UKG</t>
  </si>
  <si>
    <t xml:space="preserve">A-106</t>
  </si>
  <si>
    <t xml:space="preserve">T090</t>
  </si>
  <si>
    <t xml:space="preserve">Tanvi Mukherjee</t>
  </si>
  <si>
    <t xml:space="preserve">UKG-B</t>
  </si>
  <si>
    <t xml:space="preserve">A-107</t>
  </si>
  <si>
    <t xml:space="preserve">T095</t>
  </si>
  <si>
    <t xml:space="preserve">Chitra Singh</t>
  </si>
  <si>
    <t xml:space="preserve">1-A</t>
  </si>
  <si>
    <t xml:space="preserve">Class 1</t>
  </si>
  <si>
    <t xml:space="preserve">A-108</t>
  </si>
  <si>
    <t xml:space="preserve">T038</t>
  </si>
  <si>
    <t xml:space="preserve">Pooja Bisht</t>
  </si>
  <si>
    <t xml:space="preserve">1-B</t>
  </si>
  <si>
    <t xml:space="preserve">A-201</t>
  </si>
  <si>
    <t xml:space="preserve">T091</t>
  </si>
  <si>
    <t xml:space="preserve">Shalini Mehta</t>
  </si>
  <si>
    <t xml:space="preserve">1-C</t>
  </si>
  <si>
    <t xml:space="preserve">A-202</t>
  </si>
  <si>
    <t xml:space="preserve">T037</t>
  </si>
  <si>
    <t xml:space="preserve">Sunita Sharma</t>
  </si>
  <si>
    <t xml:space="preserve">1-D</t>
  </si>
  <si>
    <t xml:space="preserve">D</t>
  </si>
  <si>
    <t xml:space="preserve">A-203</t>
  </si>
  <si>
    <t xml:space="preserve">T024</t>
  </si>
  <si>
    <t xml:space="preserve">Geeta Pandey</t>
  </si>
  <si>
    <t xml:space="preserve">2-A</t>
  </si>
  <si>
    <t xml:space="preserve">Class 2</t>
  </si>
  <si>
    <t xml:space="preserve">A-204</t>
  </si>
  <si>
    <t xml:space="preserve">T029</t>
  </si>
  <si>
    <t xml:space="preserve">Vinod Ghosh</t>
  </si>
  <si>
    <t xml:space="preserve">2-B</t>
  </si>
  <si>
    <t xml:space="preserve">A-205</t>
  </si>
  <si>
    <t xml:space="preserve">T033</t>
  </si>
  <si>
    <t xml:space="preserve">Sapna Bedi</t>
  </si>
  <si>
    <t xml:space="preserve">2-C</t>
  </si>
  <si>
    <t xml:space="preserve">A-206</t>
  </si>
  <si>
    <t xml:space="preserve">T042</t>
  </si>
  <si>
    <t xml:space="preserve">Preeti Bisht</t>
  </si>
  <si>
    <t xml:space="preserve">3-A</t>
  </si>
  <si>
    <t xml:space="preserve">Class 3</t>
  </si>
  <si>
    <t xml:space="preserve">B-101</t>
  </si>
  <si>
    <t xml:space="preserve">T096</t>
  </si>
  <si>
    <t xml:space="preserve">Savita Mehta</t>
  </si>
  <si>
    <t xml:space="preserve">3-B</t>
  </si>
  <si>
    <t xml:space="preserve">B-102</t>
  </si>
  <si>
    <t xml:space="preserve">T082</t>
  </si>
  <si>
    <t xml:space="preserve">Ekta Bhatia</t>
  </si>
  <si>
    <t xml:space="preserve">3-C</t>
  </si>
  <si>
    <t xml:space="preserve">B-103</t>
  </si>
  <si>
    <t xml:space="preserve">T080</t>
  </si>
  <si>
    <t xml:space="preserve">Vikram Chopra</t>
  </si>
  <si>
    <t xml:space="preserve">3-D</t>
  </si>
  <si>
    <t xml:space="preserve">B-104</t>
  </si>
  <si>
    <t xml:space="preserve">T057</t>
  </si>
  <si>
    <t xml:space="preserve">Anita Sharma</t>
  </si>
  <si>
    <t xml:space="preserve">4-A</t>
  </si>
  <si>
    <t xml:space="preserve">Class 4</t>
  </si>
  <si>
    <t xml:space="preserve">B-105</t>
  </si>
  <si>
    <t xml:space="preserve">T048</t>
  </si>
  <si>
    <t xml:space="preserve">Anita Kohli</t>
  </si>
  <si>
    <t xml:space="preserve">4-B</t>
  </si>
  <si>
    <t xml:space="preserve">B-106</t>
  </si>
  <si>
    <t xml:space="preserve">T098</t>
  </si>
  <si>
    <t xml:space="preserve">Archana Malhotra</t>
  </si>
  <si>
    <t xml:space="preserve">4-C</t>
  </si>
  <si>
    <t xml:space="preserve">B-107</t>
  </si>
  <si>
    <t xml:space="preserve">T056</t>
  </si>
  <si>
    <t xml:space="preserve">Payal Arora</t>
  </si>
  <si>
    <t xml:space="preserve">5-A</t>
  </si>
  <si>
    <t xml:space="preserve">Class 5</t>
  </si>
  <si>
    <t xml:space="preserve">B-108</t>
  </si>
  <si>
    <t xml:space="preserve">T039</t>
  </si>
  <si>
    <t xml:space="preserve">Divya Sharma</t>
  </si>
  <si>
    <t xml:space="preserve">5-B</t>
  </si>
  <si>
    <t xml:space="preserve">B-201</t>
  </si>
  <si>
    <t xml:space="preserve">T099</t>
  </si>
  <si>
    <t xml:space="preserve">Harish Rastogi</t>
  </si>
  <si>
    <t xml:space="preserve">5-C</t>
  </si>
  <si>
    <t xml:space="preserve">B-202</t>
  </si>
  <si>
    <t xml:space="preserve">T094</t>
  </si>
  <si>
    <t xml:space="preserve">Preeti Walia</t>
  </si>
  <si>
    <t xml:space="preserve">5-D</t>
  </si>
  <si>
    <t xml:space="preserve">B-203</t>
  </si>
  <si>
    <t xml:space="preserve">T035</t>
  </si>
  <si>
    <t xml:space="preserve">Rachna Tandon</t>
  </si>
  <si>
    <t xml:space="preserve">5-E</t>
  </si>
  <si>
    <t xml:space="preserve">E</t>
  </si>
  <si>
    <t xml:space="preserve">B-204</t>
  </si>
  <si>
    <t xml:space="preserve">T058</t>
  </si>
  <si>
    <t xml:space="preserve">Sunita Chauhan</t>
  </si>
  <si>
    <t xml:space="preserve">6-A</t>
  </si>
  <si>
    <t xml:space="preserve">Class 6</t>
  </si>
  <si>
    <t xml:space="preserve">B-205</t>
  </si>
  <si>
    <t xml:space="preserve">T008</t>
  </si>
  <si>
    <t xml:space="preserve">Aarti Banerjee</t>
  </si>
  <si>
    <t xml:space="preserve">6-B</t>
  </si>
  <si>
    <t xml:space="preserve">B-206</t>
  </si>
  <si>
    <t xml:space="preserve">T051</t>
  </si>
  <si>
    <t xml:space="preserve">Manju Tiwari</t>
  </si>
  <si>
    <t xml:space="preserve">6-C</t>
  </si>
  <si>
    <t xml:space="preserve">B-207</t>
  </si>
  <si>
    <t xml:space="preserve">T009</t>
  </si>
  <si>
    <t xml:space="preserve">Radha Bansal</t>
  </si>
  <si>
    <t xml:space="preserve">6-D</t>
  </si>
  <si>
    <t xml:space="preserve">B-208</t>
  </si>
  <si>
    <t xml:space="preserve">T030</t>
  </si>
  <si>
    <t xml:space="preserve">Rajesh Kumar</t>
  </si>
  <si>
    <t xml:space="preserve">7-A</t>
  </si>
  <si>
    <t xml:space="preserve">Class 7</t>
  </si>
  <si>
    <t xml:space="preserve">B-301</t>
  </si>
  <si>
    <t xml:space="preserve">T018</t>
  </si>
  <si>
    <t xml:space="preserve">Aarti Walia</t>
  </si>
  <si>
    <t xml:space="preserve">7-B</t>
  </si>
  <si>
    <t xml:space="preserve">B-302</t>
  </si>
  <si>
    <t xml:space="preserve">T041</t>
  </si>
  <si>
    <t xml:space="preserve">7-C</t>
  </si>
  <si>
    <t xml:space="preserve">B-303</t>
  </si>
  <si>
    <t xml:space="preserve">T015</t>
  </si>
  <si>
    <t xml:space="preserve">Vivek Sharma</t>
  </si>
  <si>
    <t xml:space="preserve">7-D</t>
  </si>
  <si>
    <t xml:space="preserve">B-304</t>
  </si>
  <si>
    <t xml:space="preserve">T055</t>
  </si>
  <si>
    <t xml:space="preserve">Namrata Sinha</t>
  </si>
  <si>
    <t xml:space="preserve">8-A</t>
  </si>
  <si>
    <t xml:space="preserve">Class 8</t>
  </si>
  <si>
    <t xml:space="preserve">B-305</t>
  </si>
  <si>
    <t xml:space="preserve">T031</t>
  </si>
  <si>
    <t xml:space="preserve">Tanvi Gill</t>
  </si>
  <si>
    <t xml:space="preserve">8-B</t>
  </si>
  <si>
    <t xml:space="preserve">B-306</t>
  </si>
  <si>
    <t xml:space="preserve">T070</t>
  </si>
  <si>
    <t xml:space="preserve">Rashmi Sharma</t>
  </si>
  <si>
    <t xml:space="preserve">8-C</t>
  </si>
  <si>
    <t xml:space="preserve">B-307</t>
  </si>
  <si>
    <t xml:space="preserve">T068</t>
  </si>
  <si>
    <t xml:space="preserve">Vandana Banerjee</t>
  </si>
  <si>
    <t xml:space="preserve">9-A</t>
  </si>
  <si>
    <t xml:space="preserve">Class 9</t>
  </si>
  <si>
    <t xml:space="preserve">C-101</t>
  </si>
  <si>
    <t xml:space="preserve">T025</t>
  </si>
  <si>
    <t xml:space="preserve">Bhavna Gill</t>
  </si>
  <si>
    <t xml:space="preserve">9-B</t>
  </si>
  <si>
    <t xml:space="preserve">C-102</t>
  </si>
  <si>
    <t xml:space="preserve">T085</t>
  </si>
  <si>
    <t xml:space="preserve">Rekha Mukherjee</t>
  </si>
  <si>
    <t xml:space="preserve">9-C</t>
  </si>
  <si>
    <t xml:space="preserve">C-103</t>
  </si>
  <si>
    <t xml:space="preserve">T010</t>
  </si>
  <si>
    <t xml:space="preserve">Sunita Mehta</t>
  </si>
  <si>
    <t xml:space="preserve">9-D</t>
  </si>
  <si>
    <t xml:space="preserve">C-104</t>
  </si>
  <si>
    <t xml:space="preserve">T027</t>
  </si>
  <si>
    <t xml:space="preserve">Hemant Singh</t>
  </si>
  <si>
    <t xml:space="preserve">10-A</t>
  </si>
  <si>
    <t xml:space="preserve">Class 10</t>
  </si>
  <si>
    <t xml:space="preserve">C-105</t>
  </si>
  <si>
    <t xml:space="preserve">T028</t>
  </si>
  <si>
    <t xml:space="preserve">Poonam Thakur</t>
  </si>
  <si>
    <t xml:space="preserve">10-B</t>
  </si>
  <si>
    <t xml:space="preserve">C-106</t>
  </si>
  <si>
    <t xml:space="preserve">T021</t>
  </si>
  <si>
    <t xml:space="preserve">Gopal Joshi</t>
  </si>
  <si>
    <t xml:space="preserve">10-C</t>
  </si>
  <si>
    <t xml:space="preserve">C-107</t>
  </si>
  <si>
    <t xml:space="preserve">T086</t>
  </si>
  <si>
    <t xml:space="preserve">Mohit Bhatia</t>
  </si>
  <si>
    <t xml:space="preserve">10-D</t>
  </si>
  <si>
    <t xml:space="preserve">C-108</t>
  </si>
  <si>
    <t xml:space="preserve">T053</t>
  </si>
  <si>
    <t xml:space="preserve">Isha Kumar</t>
  </si>
  <si>
    <t xml:space="preserve">11-A</t>
  </si>
  <si>
    <t xml:space="preserve">Class 11</t>
  </si>
  <si>
    <t xml:space="preserve">Science (PCM)</t>
  </si>
  <si>
    <t xml:space="preserve">C-201</t>
  </si>
  <si>
    <t xml:space="preserve">T013</t>
  </si>
  <si>
    <t xml:space="preserve">Amit Dubey</t>
  </si>
  <si>
    <t xml:space="preserve">11-B</t>
  </si>
  <si>
    <t xml:space="preserve">Science (PCB)</t>
  </si>
  <si>
    <t xml:space="preserve">C-202</t>
  </si>
  <si>
    <t xml:space="preserve">T032</t>
  </si>
  <si>
    <t xml:space="preserve">Rajesh Sinha</t>
  </si>
  <si>
    <t xml:space="preserve">11-C</t>
  </si>
  <si>
    <t xml:space="preserve">C-203</t>
  </si>
  <si>
    <t xml:space="preserve">T002</t>
  </si>
  <si>
    <t xml:space="preserve">Madhu Sinha</t>
  </si>
  <si>
    <t xml:space="preserve">11-D</t>
  </si>
  <si>
    <t xml:space="preserve">Commerce</t>
  </si>
  <si>
    <t xml:space="preserve">C-204</t>
  </si>
  <si>
    <t xml:space="preserve">T004</t>
  </si>
  <si>
    <t xml:space="preserve">Pradeep Malhotra</t>
  </si>
  <si>
    <t xml:space="preserve">11-E</t>
  </si>
  <si>
    <t xml:space="preserve">C-205</t>
  </si>
  <si>
    <t xml:space="preserve">T081</t>
  </si>
  <si>
    <t xml:space="preserve">Bhavna Tandon</t>
  </si>
  <si>
    <t xml:space="preserve">11-F</t>
  </si>
  <si>
    <t xml:space="preserve">F</t>
  </si>
  <si>
    <t xml:space="preserve">Humanities</t>
  </si>
  <si>
    <t xml:space="preserve">C-206</t>
  </si>
  <si>
    <t xml:space="preserve">T006</t>
  </si>
  <si>
    <t xml:space="preserve">Rajesh Chopra</t>
  </si>
  <si>
    <t xml:space="preserve">12-A</t>
  </si>
  <si>
    <t xml:space="preserve">Class 12</t>
  </si>
  <si>
    <t xml:space="preserve">C-207</t>
  </si>
  <si>
    <t xml:space="preserve">T036</t>
  </si>
  <si>
    <t xml:space="preserve">Rakesh Rawat</t>
  </si>
  <si>
    <t xml:space="preserve">12-B</t>
  </si>
  <si>
    <t xml:space="preserve">C-208</t>
  </si>
  <si>
    <t xml:space="preserve">T047</t>
  </si>
  <si>
    <t xml:space="preserve">Lalit Joshi</t>
  </si>
  <si>
    <t xml:space="preserve">12-C</t>
  </si>
  <si>
    <t xml:space="preserve">C-301</t>
  </si>
  <si>
    <t xml:space="preserve">T019</t>
  </si>
  <si>
    <t xml:space="preserve">Rohit Jain</t>
  </si>
  <si>
    <t xml:space="preserve">12-D</t>
  </si>
  <si>
    <t xml:space="preserve">C-302</t>
  </si>
  <si>
    <t xml:space="preserve">T023</t>
  </si>
  <si>
    <t xml:space="preserve">Archana Anand</t>
  </si>
  <si>
    <t xml:space="preserve">Subject_ID</t>
  </si>
  <si>
    <t xml:space="preserve">Subject_Name</t>
  </si>
  <si>
    <t xml:space="preserve">Category</t>
  </si>
  <si>
    <t xml:space="preserve">Taught_By</t>
  </si>
  <si>
    <t xml:space="preserve">Room_Type</t>
  </si>
  <si>
    <t xml:space="preserve">Room_Mandatory</t>
  </si>
  <si>
    <t xml:space="preserve">Classes_Offered</t>
  </si>
  <si>
    <t xml:space="preserve">Notes</t>
  </si>
  <si>
    <t xml:space="preserve">ENG</t>
  </si>
  <si>
    <t xml:space="preserve">English</t>
  </si>
  <si>
    <t xml:space="preserve">Language</t>
  </si>
  <si>
    <t xml:space="preserve">Subject Teacher</t>
  </si>
  <si>
    <t xml:space="preserve">Home Classroom</t>
  </si>
  <si>
    <t xml:space="preserve">N</t>
  </si>
  <si>
    <t xml:space="preserve">Nursery-12</t>
  </si>
  <si>
    <t xml:space="preserve">Compulsory for all</t>
  </si>
  <si>
    <t xml:space="preserve">HIN</t>
  </si>
  <si>
    <t xml:space="preserve">Hindi</t>
  </si>
  <si>
    <t xml:space="preserve">Nursery-10</t>
  </si>
  <si>
    <t xml:space="preserve">Not offered in 11-12</t>
  </si>
  <si>
    <t xml:space="preserve">SAN</t>
  </si>
  <si>
    <t xml:space="preserve">Sanskrit</t>
  </si>
  <si>
    <t xml:space="preserve">6-8</t>
  </si>
  <si>
    <t xml:space="preserve">Third language</t>
  </si>
  <si>
    <t xml:space="preserve">MAT</t>
  </si>
  <si>
    <t xml:space="preserve">Mathematics</t>
  </si>
  <si>
    <t xml:space="preserve">Core</t>
  </si>
  <si>
    <t xml:space="preserve">In 11-12 only Science (PCM) and Commerce</t>
  </si>
  <si>
    <t xml:space="preserve">EVS</t>
  </si>
  <si>
    <t xml:space="preserve">Environmental Studies</t>
  </si>
  <si>
    <t xml:space="preserve">Nursery-2</t>
  </si>
  <si>
    <t xml:space="preserve">Replaced by Science + Social Science from Class 3</t>
  </si>
  <si>
    <t xml:space="preserve">SCI</t>
  </si>
  <si>
    <t xml:space="preserve">Science</t>
  </si>
  <si>
    <t xml:space="preserve">3-10</t>
  </si>
  <si>
    <t xml:space="preserve">Class 9-10 has 1 lab double period</t>
  </si>
  <si>
    <t xml:space="preserve">SST</t>
  </si>
  <si>
    <t xml:space="preserve">Social Science</t>
  </si>
  <si>
    <t xml:space="preserve">CS</t>
  </si>
  <si>
    <t xml:space="preserve">Computer Science / IT</t>
  </si>
  <si>
    <t xml:space="preserve">Skill</t>
  </si>
  <si>
    <t xml:space="preserve">Computer Lab</t>
  </si>
  <si>
    <t xml:space="preserve">Y</t>
  </si>
  <si>
    <t xml:space="preserve">1-10, 11-12 (PCM)</t>
  </si>
  <si>
    <t xml:space="preserve">All periods are held in a Computer Lab</t>
  </si>
  <si>
    <t xml:space="preserve">PHY</t>
  </si>
  <si>
    <t xml:space="preserve">Physics</t>
  </si>
  <si>
    <t xml:space="preserve">Senior Science</t>
  </si>
  <si>
    <t xml:space="preserve">Physics Lab</t>
  </si>
  <si>
    <t xml:space="preserve">11-12 Science</t>
  </si>
  <si>
    <t xml:space="preserve">1 double (practical) period per week</t>
  </si>
  <si>
    <t xml:space="preserve">CHE</t>
  </si>
  <si>
    <t xml:space="preserve">Chemistry</t>
  </si>
  <si>
    <t xml:space="preserve">Chemistry Lab</t>
  </si>
  <si>
    <t xml:space="preserve">BIO</t>
  </si>
  <si>
    <t xml:space="preserve">Biology</t>
  </si>
  <si>
    <t xml:space="preserve">Biology Lab</t>
  </si>
  <si>
    <t xml:space="preserve">11-12 PCB</t>
  </si>
  <si>
    <t xml:space="preserve">PSY</t>
  </si>
  <si>
    <t xml:space="preserve">Psychology</t>
  </si>
  <si>
    <t xml:space="preserve">Elective</t>
  </si>
  <si>
    <t xml:space="preserve">ACC</t>
  </si>
  <si>
    <t xml:space="preserve">Accountancy</t>
  </si>
  <si>
    <t xml:space="preserve">11-12 Commerce</t>
  </si>
  <si>
    <t xml:space="preserve">BST</t>
  </si>
  <si>
    <t xml:space="preserve">Business Studies</t>
  </si>
  <si>
    <t xml:space="preserve">ECO</t>
  </si>
  <si>
    <t xml:space="preserve">Economics</t>
  </si>
  <si>
    <t xml:space="preserve">11-12 Commerce, Humanities</t>
  </si>
  <si>
    <t xml:space="preserve">Shared between two streams</t>
  </si>
  <si>
    <t xml:space="preserve">HIS</t>
  </si>
  <si>
    <t xml:space="preserve">History</t>
  </si>
  <si>
    <t xml:space="preserve">11-12 Humanities</t>
  </si>
  <si>
    <t xml:space="preserve">POL</t>
  </si>
  <si>
    <t xml:space="preserve">Political Science</t>
  </si>
  <si>
    <t xml:space="preserve">GEO</t>
  </si>
  <si>
    <t xml:space="preserve">Geography</t>
  </si>
  <si>
    <t xml:space="preserve">ART</t>
  </si>
  <si>
    <t xml:space="preserve">Art &amp; Craft</t>
  </si>
  <si>
    <t xml:space="preserve">Co-scholastic</t>
  </si>
  <si>
    <t xml:space="preserve">Art Room</t>
  </si>
  <si>
    <t xml:space="preserve">Art Room preferred, can run in home room</t>
  </si>
  <si>
    <t xml:space="preserve">MUS</t>
  </si>
  <si>
    <t xml:space="preserve">Music</t>
  </si>
  <si>
    <t xml:space="preserve">Music Room</t>
  </si>
  <si>
    <t xml:space="preserve">Nursery-8</t>
  </si>
  <si>
    <t xml:space="preserve">Music Room preferred, can run in home room</t>
  </si>
  <si>
    <t xml:space="preserve">DAN</t>
  </si>
  <si>
    <t xml:space="preserve">Dance</t>
  </si>
  <si>
    <t xml:space="preserve">Dance Studio</t>
  </si>
  <si>
    <t xml:space="preserve">1-8</t>
  </si>
  <si>
    <t xml:space="preserve">Pre-primary dance is part of Music</t>
  </si>
  <si>
    <t xml:space="preserve">PE</t>
  </si>
  <si>
    <t xml:space="preserve">Physical Education</t>
  </si>
  <si>
    <t xml:space="preserve">Playground</t>
  </si>
  <si>
    <t xml:space="preserve">Nursery-UKG use the Play Area instead of the Playground</t>
  </si>
  <si>
    <t xml:space="preserve">LIB</t>
  </si>
  <si>
    <t xml:space="preserve">Library &amp; Reading</t>
  </si>
  <si>
    <t xml:space="preserve">Library</t>
  </si>
  <si>
    <t xml:space="preserve">1-12</t>
  </si>
  <si>
    <t xml:space="preserve">RHY</t>
  </si>
  <si>
    <t xml:space="preserve">Rhymes &amp; Storytelling</t>
  </si>
  <si>
    <t xml:space="preserve">VE</t>
  </si>
  <si>
    <t xml:space="preserve">Value Education / Class Teacher Period</t>
  </si>
  <si>
    <t xml:space="preserve">Class Teacher</t>
  </si>
  <si>
    <t xml:space="preserve">Always taken by the section's own class teacher (not counted in subject supply)</t>
  </si>
  <si>
    <t xml:space="preserve">Teacher_ID</t>
  </si>
  <si>
    <t xml:space="preserve">Teacher_Name</t>
  </si>
  <si>
    <t xml:space="preserve">Gender</t>
  </si>
  <si>
    <t xml:space="preserve">Primary_Subject</t>
  </si>
  <si>
    <t xml:space="preserve">Secondary_Subject</t>
  </si>
  <si>
    <t xml:space="preserve">Teaching_Wings</t>
  </si>
  <si>
    <t xml:space="preserve">Employment_Type</t>
  </si>
  <si>
    <t xml:space="preserve">Status</t>
  </si>
  <si>
    <t xml:space="preserve">Status_Till</t>
  </si>
  <si>
    <t xml:space="preserve">Class_Teacher_Of</t>
  </si>
  <si>
    <t xml:space="preserve">Qualification</t>
  </si>
  <si>
    <t xml:space="preserve">Joining_Year</t>
  </si>
  <si>
    <t xml:space="preserve">Remarks</t>
  </si>
  <si>
    <t xml:space="preserve">T001</t>
  </si>
  <si>
    <t xml:space="preserve">Nidhi Tiwari</t>
  </si>
  <si>
    <t xml:space="preserve">Full-time</t>
  </si>
  <si>
    <t xml:space="preserve">Active</t>
  </si>
  <si>
    <t xml:space="preserve">M.Sc. (Physics), B.Ed.</t>
  </si>
  <si>
    <t xml:space="preserve">Only Physics PGT in the school.</t>
  </si>
  <si>
    <t xml:space="preserve">On Leave</t>
  </si>
  <si>
    <t xml:space="preserve">M.Sc. (Maths), B.Ed.</t>
  </si>
  <si>
    <t xml:space="preserve">On maternity leave until 31-Jan-2027. Class teacher of 11-C (needs a substitute).</t>
  </si>
  <si>
    <t xml:space="preserve">T003</t>
  </si>
  <si>
    <t xml:space="preserve">Archana Kapoor</t>
  </si>
  <si>
    <t xml:space="preserve">M.A. (Geography), B.Ed.</t>
  </si>
  <si>
    <t xml:space="preserve">M</t>
  </si>
  <si>
    <t xml:space="preserve">M.Com, B.Ed.</t>
  </si>
  <si>
    <t xml:space="preserve">Only Accountancy PGT.</t>
  </si>
  <si>
    <t xml:space="preserve">T005</t>
  </si>
  <si>
    <t xml:space="preserve">Madhu Mehta</t>
  </si>
  <si>
    <t xml:space="preserve">Primary;Middle;Secondary</t>
  </si>
  <si>
    <t xml:space="preserve">M.Sc. (IT), B.Ed.</t>
  </si>
  <si>
    <t xml:space="preserve">M.A. (History), B.Ed.</t>
  </si>
  <si>
    <t xml:space="preserve">T007</t>
  </si>
  <si>
    <t xml:space="preserve">Umesh Chopra</t>
  </si>
  <si>
    <t xml:space="preserve">All</t>
  </si>
  <si>
    <t xml:space="preserve">M.P.Ed.</t>
  </si>
  <si>
    <t xml:space="preserve">Head of Sports Department</t>
  </si>
  <si>
    <t xml:space="preserve">Middle;Secondary</t>
  </si>
  <si>
    <t xml:space="preserve">M.A. (Pol. Sc.), B.Ed.</t>
  </si>
  <si>
    <t xml:space="preserve">M.A. (Hindi), B.Ed.</t>
  </si>
  <si>
    <t xml:space="preserve">M.A. (English), B.Ed.</t>
  </si>
  <si>
    <t xml:space="preserve">T011</t>
  </si>
  <si>
    <t xml:space="preserve">Tarun Khanna</t>
  </si>
  <si>
    <t xml:space="preserve">M.A. (Sanskrit), B.Ed.</t>
  </si>
  <si>
    <t xml:space="preserve">Only Sanskrit teacher in the school.</t>
  </si>
  <si>
    <t xml:space="preserve">T012</t>
  </si>
  <si>
    <t xml:space="preserve">Lata Pandey</t>
  </si>
  <si>
    <t xml:space="preserve">MCA, B.Ed.</t>
  </si>
  <si>
    <t xml:space="preserve">M.Sc. (Chemistry), B.Ed.</t>
  </si>
  <si>
    <t xml:space="preserve">T014</t>
  </si>
  <si>
    <t xml:space="preserve">Preeti Tandon</t>
  </si>
  <si>
    <t xml:space="preserve">B.A., B.Ed.</t>
  </si>
  <si>
    <t xml:space="preserve">T016</t>
  </si>
  <si>
    <t xml:space="preserve">Manju Mukherjee</t>
  </si>
  <si>
    <t xml:space="preserve">T017</t>
  </si>
  <si>
    <t xml:space="preserve">Kavita Malhotra</t>
  </si>
  <si>
    <t xml:space="preserve">Part-time</t>
  </si>
  <si>
    <t xml:space="preserve">Mon,Wed,Fri</t>
  </si>
  <si>
    <t xml:space="preserve">M.A. (Psychology), M.Phil.</t>
  </si>
  <si>
    <t xml:space="preserve">Part-time psychology teacher / counsellor. Only Mon, Wed, Fri.</t>
  </si>
  <si>
    <t xml:space="preserve">Only Business Studies PGT.</t>
  </si>
  <si>
    <t xml:space="preserve">T020</t>
  </si>
  <si>
    <t xml:space="preserve">Pradeep Kumar</t>
  </si>
  <si>
    <t xml:space="preserve">B.P.Ed.</t>
  </si>
  <si>
    <t xml:space="preserve">T022</t>
  </si>
  <si>
    <t xml:space="preserve">Renu Banerjee</t>
  </si>
  <si>
    <t xml:space="preserve">Part-time computer teacher; available Mon, Wed, Fri only.</t>
  </si>
  <si>
    <t xml:space="preserve">B.Sc. (Maths), B.Ed.</t>
  </si>
  <si>
    <t xml:space="preserve">T026</t>
  </si>
  <si>
    <t xml:space="preserve">Rahul Mishra</t>
  </si>
  <si>
    <t xml:space="preserve">M.Sc. (Zoology), B.Ed.</t>
  </si>
  <si>
    <t xml:space="preserve">Only Biology PGT in the school.</t>
  </si>
  <si>
    <t xml:space="preserve">T034</t>
  </si>
  <si>
    <t xml:space="preserve">Suresh Chauhan</t>
  </si>
  <si>
    <t xml:space="preserve">Pre-Primary;Primary;Middle;Secondary</t>
  </si>
  <si>
    <t xml:space="preserve">BFA, B.Ed.</t>
  </si>
  <si>
    <t xml:space="preserve">B.A., D.El.Ed.</t>
  </si>
  <si>
    <t xml:space="preserve">B.Sc., B.Ed.</t>
  </si>
  <si>
    <t xml:space="preserve">T040</t>
  </si>
  <si>
    <t xml:space="preserve">Jitendra Bhatia</t>
  </si>
  <si>
    <t xml:space="preserve">Pre-Primary;Primary;Middle</t>
  </si>
  <si>
    <t xml:space="preserve">Sangeet Visharad</t>
  </si>
  <si>
    <t xml:space="preserve">B.Ed. (Early Childhood)</t>
  </si>
  <si>
    <t xml:space="preserve">T044</t>
  </si>
  <si>
    <t xml:space="preserve">Pallavi Walia</t>
  </si>
  <si>
    <t xml:space="preserve">T045</t>
  </si>
  <si>
    <t xml:space="preserve">Pankaj Khanna</t>
  </si>
  <si>
    <t xml:space="preserve">T046</t>
  </si>
  <si>
    <t xml:space="preserve">Sarita Joshi</t>
  </si>
  <si>
    <t xml:space="preserve">Senior Secondary;Secondary</t>
  </si>
  <si>
    <t xml:space="preserve">Also qualified for Class 9-10 Science.</t>
  </si>
  <si>
    <t xml:space="preserve">B.Sc., D.El.Ed.</t>
  </si>
  <si>
    <t xml:space="preserve">T049</t>
  </si>
  <si>
    <t xml:space="preserve">Urmila Walia</t>
  </si>
  <si>
    <t xml:space="preserve">T050</t>
  </si>
  <si>
    <t xml:space="preserve">Renu Tandon</t>
  </si>
  <si>
    <t xml:space="preserve">Primary;Middle;Secondary;Senior Secondary</t>
  </si>
  <si>
    <t xml:space="preserve">B.Lib.I.Sc.</t>
  </si>
  <si>
    <t xml:space="preserve">Only librarian.</t>
  </si>
  <si>
    <t xml:space="preserve">M.Sc. (Science), B.Ed.</t>
  </si>
  <si>
    <t xml:space="preserve">T052</t>
  </si>
  <si>
    <t xml:space="preserve">Naresh Kaur</t>
  </si>
  <si>
    <t xml:space="preserve">B.A. (English), B.Ed.</t>
  </si>
  <si>
    <t xml:space="preserve">T059</t>
  </si>
  <si>
    <t xml:space="preserve">Smita Bansal</t>
  </si>
  <si>
    <t xml:space="preserve">Serving notice - last working day 30-Nov-2026. PRT Hindi capacity drops after this date.</t>
  </si>
  <si>
    <t xml:space="preserve">T060</t>
  </si>
  <si>
    <t xml:space="preserve">Umesh Verma</t>
  </si>
  <si>
    <t xml:space="preserve">T061</t>
  </si>
  <si>
    <t xml:space="preserve">Manoj Anand</t>
  </si>
  <si>
    <t xml:space="preserve">T062</t>
  </si>
  <si>
    <t xml:space="preserve">Sanjay Sinha</t>
  </si>
  <si>
    <t xml:space="preserve">T063</t>
  </si>
  <si>
    <t xml:space="preserve">Deepa Iyer</t>
  </si>
  <si>
    <t xml:space="preserve">T065</t>
  </si>
  <si>
    <t xml:space="preserve">Aarti Pandey</t>
  </si>
  <si>
    <t xml:space="preserve">B.A. (History), D.El.Ed.</t>
  </si>
  <si>
    <t xml:space="preserve">T066</t>
  </si>
  <si>
    <t xml:space="preserve">Bhavna Tiwari</t>
  </si>
  <si>
    <t xml:space="preserve">Diploma in Fine Arts</t>
  </si>
  <si>
    <t xml:space="preserve">T067</t>
  </si>
  <si>
    <t xml:space="preserve">Varsha Sinha</t>
  </si>
  <si>
    <t xml:space="preserve">Primary;Middle</t>
  </si>
  <si>
    <t xml:space="preserve">Visiting</t>
  </si>
  <si>
    <t xml:space="preserve">Kathak Visharad</t>
  </si>
  <si>
    <t xml:space="preserve">Visiting dance teacher; Mon, Wed, Fri only.</t>
  </si>
  <si>
    <t xml:space="preserve">T069</t>
  </si>
  <si>
    <t xml:space="preserve">Archana Nair</t>
  </si>
  <si>
    <t xml:space="preserve">T071</t>
  </si>
  <si>
    <t xml:space="preserve">Meena Gill</t>
  </si>
  <si>
    <t xml:space="preserve">T072</t>
  </si>
  <si>
    <t xml:space="preserve">Rohit Aggarwal</t>
  </si>
  <si>
    <t xml:space="preserve">M.A. (Economics), B.Ed.</t>
  </si>
  <si>
    <t xml:space="preserve">T074</t>
  </si>
  <si>
    <t xml:space="preserve">Suman Nair</t>
  </si>
  <si>
    <t xml:space="preserve">T075</t>
  </si>
  <si>
    <t xml:space="preserve">Tarun Iyer</t>
  </si>
  <si>
    <t xml:space="preserve">T076</t>
  </si>
  <si>
    <t xml:space="preserve">Pankaj Reddy</t>
  </si>
  <si>
    <t xml:space="preserve">Can also take Class 9-10 Maths.</t>
  </si>
  <si>
    <t xml:space="preserve">T077</t>
  </si>
  <si>
    <t xml:space="preserve">Mohit Gupta</t>
  </si>
  <si>
    <t xml:space="preserve">NTT Diploma</t>
  </si>
  <si>
    <t xml:space="preserve">T079</t>
  </si>
  <si>
    <t xml:space="preserve">Rachna Pandey</t>
  </si>
  <si>
    <t xml:space="preserve">B.A. (Hindi), B.Ed.</t>
  </si>
  <si>
    <t xml:space="preserve">T083</t>
  </si>
  <si>
    <t xml:space="preserve">Amit Thakur</t>
  </si>
  <si>
    <t xml:space="preserve">T084</t>
  </si>
  <si>
    <t xml:space="preserve">Rakesh Bhatia</t>
  </si>
  <si>
    <t xml:space="preserve">T087</t>
  </si>
  <si>
    <t xml:space="preserve">Anita Ghosh</t>
  </si>
  <si>
    <t xml:space="preserve">T088</t>
  </si>
  <si>
    <t xml:space="preserve">Meena Tiwari</t>
  </si>
  <si>
    <t xml:space="preserve">T089</t>
  </si>
  <si>
    <t xml:space="preserve">Ritu Khanna</t>
  </si>
  <si>
    <t xml:space="preserve">T092</t>
  </si>
  <si>
    <t xml:space="preserve">Renu Joshi</t>
  </si>
  <si>
    <t xml:space="preserve">Tue,Thu</t>
  </si>
  <si>
    <t xml:space="preserve">B.Mus.</t>
  </si>
  <si>
    <t xml:space="preserve">Part-time music teacher; available Tue, Thu only.</t>
  </si>
  <si>
    <t xml:space="preserve">T093</t>
  </si>
  <si>
    <t xml:space="preserve">B.A., NTT</t>
  </si>
  <si>
    <t xml:space="preserve">T097</t>
  </si>
  <si>
    <t xml:space="preserve">Naveen Verma</t>
  </si>
  <si>
    <t xml:space="preserve">Req_ID</t>
  </si>
  <si>
    <t xml:space="preserve">Periods_Per_Week</t>
  </si>
  <si>
    <t xml:space="preserve">Double_Periods</t>
  </si>
  <si>
    <t xml:space="preserve">Max_Per_Day</t>
  </si>
  <si>
    <t xml:space="preserve">Teacher_Group</t>
  </si>
  <si>
    <t xml:space="preserve">R0001</t>
  </si>
  <si>
    <t xml:space="preserve">R0002</t>
  </si>
  <si>
    <t xml:space="preserve">R0003</t>
  </si>
  <si>
    <t xml:space="preserve">R0004</t>
  </si>
  <si>
    <t xml:space="preserve">R0005</t>
  </si>
  <si>
    <t xml:space="preserve">R0006</t>
  </si>
  <si>
    <t xml:space="preserve">R0007</t>
  </si>
  <si>
    <t xml:space="preserve">R0008</t>
  </si>
  <si>
    <t xml:space="preserve">Play Area</t>
  </si>
  <si>
    <t xml:space="preserve">R0009</t>
  </si>
  <si>
    <t xml:space="preserve">R0010</t>
  </si>
  <si>
    <t xml:space="preserve">R0011</t>
  </si>
  <si>
    <t xml:space="preserve">R0012</t>
  </si>
  <si>
    <t xml:space="preserve">R0013</t>
  </si>
  <si>
    <t xml:space="preserve">R0014</t>
  </si>
  <si>
    <t xml:space="preserve">R0015</t>
  </si>
  <si>
    <t xml:space="preserve">R0016</t>
  </si>
  <si>
    <t xml:space="preserve">R0017</t>
  </si>
  <si>
    <t xml:space="preserve">R0018</t>
  </si>
  <si>
    <t xml:space="preserve">R0019</t>
  </si>
  <si>
    <t xml:space="preserve">R0020</t>
  </si>
  <si>
    <t xml:space="preserve">R0021</t>
  </si>
  <si>
    <t xml:space="preserve">R0022</t>
  </si>
  <si>
    <t xml:space="preserve">R0023</t>
  </si>
  <si>
    <t xml:space="preserve">R0024</t>
  </si>
  <si>
    <t xml:space="preserve">R0025</t>
  </si>
  <si>
    <t xml:space="preserve">R0026</t>
  </si>
  <si>
    <t xml:space="preserve">R0027</t>
  </si>
  <si>
    <t xml:space="preserve">R0028</t>
  </si>
  <si>
    <t xml:space="preserve">R0029</t>
  </si>
  <si>
    <t xml:space="preserve">R0030</t>
  </si>
  <si>
    <t xml:space="preserve">R0031</t>
  </si>
  <si>
    <t xml:space="preserve">R0032</t>
  </si>
  <si>
    <t xml:space="preserve">R0033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</si>
  <si>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</si>
  <si>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</si>
  <si>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</si>
  <si>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</si>
  <si>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</si>
  <si>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</si>
  <si>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</si>
  <si>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</si>
  <si>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</si>
  <si>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</si>
  <si>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</si>
  <si>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</si>
  <si>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</si>
  <si>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</si>
  <si>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</si>
  <si>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R0049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</si>
  <si>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</si>
  <si>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</si>
  <si>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</si>
  <si>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</si>
  <si>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</si>
  <si>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</si>
  <si>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</si>
  <si>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</si>
  <si>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</si>
  <si>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</si>
  <si>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</si>
  <si>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</si>
  <si>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</si>
  <si>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</si>
  <si>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</si>
  <si>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</si>
  <si>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</si>
  <si>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</si>
  <si>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</si>
  <si>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</si>
  <si>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</si>
  <si>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</si>
  <si>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</si>
  <si>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</si>
  <si>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</si>
  <si>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</si>
  <si>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</si>
  <si>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</si>
  <si>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</si>
  <si>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</si>
  <si>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</si>
  <si>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</si>
  <si>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</si>
  <si>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</si>
  <si>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</si>
  <si>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</si>
  <si>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</si>
  <si>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</si>
  <si>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</si>
  <si>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</si>
  <si>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</si>
  <si>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</si>
  <si>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</si>
  <si>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</si>
  <si>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</si>
  <si>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</si>
  <si>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</si>
  <si>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</si>
  <si>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</si>
  <si>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</si>
  <si>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</si>
  <si>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</si>
  <si>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</si>
  <si>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</si>
  <si>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</si>
  <si>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</si>
  <si>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</si>
  <si>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</si>
  <si>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</si>
  <si>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</si>
  <si>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</si>
  <si>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</si>
  <si>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</si>
  <si>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</si>
  <si>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</si>
  <si>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</si>
  <si>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</si>
  <si>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</si>
  <si>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</si>
  <si>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</si>
  <si>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</si>
  <si>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</si>
  <si>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</si>
  <si>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</si>
  <si>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</si>
  <si>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</si>
  <si>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</si>
  <si>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</si>
  <si>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</si>
  <si>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</si>
  <si>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</si>
  <si>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</si>
  <si>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</si>
  <si>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</si>
  <si>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</si>
  <si>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</si>
  <si>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</si>
  <si>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</si>
  <si>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</si>
  <si>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</si>
  <si>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</si>
  <si>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</si>
  <si>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</si>
  <si>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</si>
  <si>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</si>
  <si>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R0145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</si>
  <si>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</si>
  <si>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</si>
  <si>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</si>
  <si>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</si>
  <si>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</si>
  <si>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</si>
  <si>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</si>
  <si>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</si>
  <si>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</si>
  <si>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</si>
  <si>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</si>
  <si>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</si>
  <si>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</si>
  <si>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</si>
  <si>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</si>
  <si>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</si>
  <si>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</si>
  <si>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</si>
  <si>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</si>
  <si>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</si>
  <si>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</si>
  <si>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</si>
  <si>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</si>
  <si>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</si>
  <si>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</si>
  <si>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</si>
  <si>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</si>
  <si>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</si>
  <si>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</si>
  <si>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</si>
  <si>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</si>
  <si>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</si>
  <si>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</si>
  <si>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</si>
  <si>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</si>
  <si>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</si>
  <si>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</si>
  <si>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</si>
  <si>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</si>
  <si>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</si>
  <si>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</si>
  <si>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</si>
  <si>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</si>
  <si>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</si>
  <si>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</si>
  <si>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</si>
  <si>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</si>
  <si>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</si>
  <si>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R0194</t>
  </si>
  <si>
    <t xml:space="preserve">R0195</t>
  </si>
  <si>
    <t xml:space="preserve">R0196</t>
  </si>
  <si>
    <t xml:space="preserve">R0197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</si>
  <si>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</si>
  <si>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</si>
  <si>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</si>
  <si>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</si>
  <si>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</si>
  <si>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</si>
  <si>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</si>
  <si>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</si>
  <si>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</si>
  <si>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</si>
  <si>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</si>
  <si>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</si>
  <si>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</si>
  <si>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</si>
  <si>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</si>
  <si>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</si>
  <si>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</si>
  <si>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</si>
  <si>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</si>
  <si>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</si>
  <si>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</si>
  <si>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</si>
  <si>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</si>
  <si>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</si>
  <si>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</si>
  <si>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</si>
  <si>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</si>
  <si>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</si>
  <si>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</si>
  <si>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</si>
  <si>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</si>
  <si>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</si>
  <si>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</si>
  <si>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</si>
  <si>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</si>
  <si>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</si>
  <si>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</si>
  <si>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</si>
  <si>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</si>
  <si>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</si>
  <si>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</si>
  <si>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</si>
  <si>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</si>
  <si>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</si>
  <si>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</si>
  <si>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</si>
  <si>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</si>
  <si>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</si>
  <si>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</si>
  <si>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</si>
  <si>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</si>
  <si>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</si>
  <si>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</si>
  <si>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</si>
  <si>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</si>
  <si>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</si>
  <si>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</si>
  <si>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</si>
  <si>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</si>
  <si>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</si>
  <si>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</si>
  <si>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</si>
  <si>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</si>
  <si>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</si>
  <si>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R0262</t>
  </si>
  <si>
    <t xml:space="preserve">R0263</t>
  </si>
  <si>
    <t xml:space="preserve">R0264</t>
  </si>
  <si>
    <t xml:space="preserve">R0265</t>
  </si>
  <si>
    <t xml:space="preserve">R0266</t>
  </si>
  <si>
    <t xml:space="preserve">R0267</t>
  </si>
  <si>
    <t xml:space="preserve">R0268</t>
  </si>
  <si>
    <t xml:space="preserve">R0269</t>
  </si>
  <si>
    <t xml:space="preserve">R0270</t>
  </si>
  <si>
    <t xml:space="preserve">R0271</t>
  </si>
  <si>
    <t xml:space="preserve">R0272</t>
  </si>
  <si>
    <t xml:space="preserve">R0273</t>
  </si>
  <si>
    <t xml:space="preserve">R0274</t>
  </si>
  <si>
    <t xml:space="preserve">R0275</t>
  </si>
  <si>
    <t xml:space="preserve">R0276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</si>
  <si>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</si>
  <si>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</si>
  <si>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</si>
  <si>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</si>
  <si>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</si>
  <si>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</si>
  <si>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</si>
  <si>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</si>
  <si>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</si>
  <si>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</si>
  <si>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</si>
  <si>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R0288</t>
  </si>
  <si>
    <t xml:space="preserve">R0289</t>
  </si>
  <si>
    <t xml:space="preserve">R0290</t>
  </si>
  <si>
    <t xml:space="preserve">R0291</t>
  </si>
  <si>
    <t xml:space="preserve">R0292</t>
  </si>
  <si>
    <t xml:space="preserve">R0293</t>
  </si>
  <si>
    <t xml:space="preserve">R0294</t>
  </si>
  <si>
    <t xml:space="preserve">R0295</t>
  </si>
  <si>
    <t xml:space="preserve">R0296</t>
  </si>
  <si>
    <t xml:space="preserve">R0297</t>
  </si>
  <si>
    <t xml:space="preserve">R0298</t>
  </si>
  <si>
    <t xml:space="preserve">R0299</t>
  </si>
  <si>
    <t xml:space="preserve">R0300</t>
  </si>
  <si>
    <t xml:space="preserve">R0301</t>
  </si>
  <si>
    <t xml:space="preserve">R0302</t>
  </si>
  <si>
    <t xml:space="preserve">R0303</t>
  </si>
  <si>
    <t xml:space="preserve">R0304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</si>
  <si>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</si>
  <si>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</si>
  <si>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</si>
  <si>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</si>
  <si>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</si>
  <si>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R0310</t>
  </si>
  <si>
    <t xml:space="preserve">R0311</t>
  </si>
  <si>
    <t xml:space="preserve">R0312</t>
  </si>
  <si>
    <t xml:space="preserve">R0313</t>
  </si>
  <si>
    <t xml:space="preserve">R0314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</si>
  <si>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</si>
  <si>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</si>
  <si>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</si>
  <si>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</si>
  <si>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</si>
  <si>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</si>
  <si>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</si>
  <si>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</si>
  <si>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</si>
  <si>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</si>
  <si>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</si>
  <si>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</si>
  <si>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</si>
  <si>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t xml:space="preserve">R0328</t>
  </si>
  <si>
    <t xml:space="preserve">R0329</t>
  </si>
  <si>
    <t xml:space="preserve">R0330</t>
  </si>
  <si>
    <t xml:space="preserve">R0331</t>
  </si>
  <si>
    <t xml:space="preserve">R0332</t>
  </si>
  <si>
    <t xml:space="preserve">R0333</t>
  </si>
  <si>
    <t xml:space="preserve">R0334</t>
  </si>
  <si>
    <t xml:space="preserve">R0335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</si>
  <si>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</si>
  <si>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</si>
  <si>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</si>
  <si>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</si>
  <si>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</si>
  <si>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</si>
  <si>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R0342</t>
  </si>
  <si>
    <t xml:space="preserve">R0343</t>
  </si>
  <si>
    <t xml:space="preserve">R0344</t>
  </si>
  <si>
    <t xml:space="preserve">R0345</t>
  </si>
  <si>
    <t xml:space="preserve">R0346</t>
  </si>
  <si>
    <t xml:space="preserve">R0347</t>
  </si>
  <si>
    <t xml:space="preserve">R0348</t>
  </si>
  <si>
    <t xml:space="preserve">R0349</t>
  </si>
  <si>
    <t xml:space="preserve">R0350</t>
  </si>
  <si>
    <t xml:space="preserve">R0351</t>
  </si>
  <si>
    <t xml:space="preserve">R0352</t>
  </si>
  <si>
    <t xml:space="preserve">R0353</t>
  </si>
  <si>
    <t xml:space="preserve">R0354</t>
  </si>
  <si>
    <t xml:space="preserve">R0355</t>
  </si>
  <si>
    <t xml:space="preserve">R0356</t>
  </si>
  <si>
    <t xml:space="preserve">R0357</t>
  </si>
  <si>
    <t xml:space="preserve">R0358</t>
  </si>
  <si>
    <t xml:space="preserve">R0359</t>
  </si>
  <si>
    <t xml:space="preserve">R0360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</si>
  <si>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</si>
  <si>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</si>
  <si>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</si>
  <si>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</si>
  <si>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</si>
  <si>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R0366</t>
  </si>
  <si>
    <t xml:space="preserve">R0367</t>
  </si>
  <si>
    <t xml:space="preserve">R0368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</si>
  <si>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</si>
  <si>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</si>
  <si>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</si>
  <si>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</si>
  <si>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</si>
  <si>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R0374</t>
  </si>
  <si>
    <t xml:space="preserve">R0375</t>
  </si>
  <si>
    <t xml:space="preserve">R0376</t>
  </si>
  <si>
    <t xml:space="preserve">R0377</t>
  </si>
  <si>
    <t xml:space="preserve">R0378</t>
  </si>
  <si>
    <t xml:space="preserve">R0379</t>
  </si>
  <si>
    <t xml:space="preserve">R0380</t>
  </si>
  <si>
    <t xml:space="preserve">R0381</t>
  </si>
  <si>
    <t xml:space="preserve">R0382</t>
  </si>
  <si>
    <t xml:space="preserve">R0383</t>
  </si>
  <si>
    <t xml:space="preserve">R0384</t>
  </si>
  <si>
    <t xml:space="preserve">R0385</t>
  </si>
  <si>
    <t xml:space="preserve">R0386</t>
  </si>
  <si>
    <t xml:space="preserve">R0387</t>
  </si>
  <si>
    <t xml:space="preserve">R0388</t>
  </si>
  <si>
    <t xml:space="preserve">R0389</t>
  </si>
  <si>
    <t xml:space="preserve">R0390</t>
  </si>
  <si>
    <t xml:space="preserve">R0391</t>
  </si>
  <si>
    <t xml:space="preserve">R0392</t>
  </si>
  <si>
    <t xml:space="preserve">R0393</t>
  </si>
  <si>
    <t xml:space="preserve">R0394</t>
  </si>
  <si>
    <t xml:space="preserve">R0395</t>
  </si>
  <si>
    <t xml:space="preserve">R0396</t>
  </si>
  <si>
    <t xml:space="preserve">R0397</t>
  </si>
  <si>
    <t xml:space="preserve">R0398</t>
  </si>
  <si>
    <t xml:space="preserve">R0399</t>
  </si>
  <si>
    <t xml:space="preserve">R0400</t>
  </si>
  <si>
    <t xml:space="preserve">R0401</t>
  </si>
  <si>
    <t xml:space="preserve">R0402</t>
  </si>
  <si>
    <t xml:space="preserve">R0403</t>
  </si>
  <si>
    <t xml:space="preserve">R0404</t>
  </si>
  <si>
    <t xml:space="preserve">R0405</t>
  </si>
  <si>
    <t xml:space="preserve">R0406</t>
  </si>
  <si>
    <t xml:space="preserve">R0407</t>
  </si>
  <si>
    <t xml:space="preserve">R0408</t>
  </si>
  <si>
    <t xml:space="preserve">R0409</t>
  </si>
  <si>
    <t xml:space="preserve">R0410</t>
  </si>
  <si>
    <t xml:space="preserve">R0411</t>
  </si>
  <si>
    <t xml:space="preserve">R0412</t>
  </si>
  <si>
    <t xml:space="preserve">R0413</t>
  </si>
  <si>
    <t xml:space="preserve">R0414</t>
  </si>
  <si>
    <t xml:space="preserve">R0415</t>
  </si>
  <si>
    <t xml:space="preserve">R0416</t>
  </si>
  <si>
    <t xml:space="preserve">R0417</t>
  </si>
  <si>
    <t xml:space="preserve">R0418</t>
  </si>
  <si>
    <t xml:space="preserve">R0419</t>
  </si>
  <si>
    <t xml:space="preserve">R0420</t>
  </si>
  <si>
    <t xml:space="preserve">R0421</t>
  </si>
  <si>
    <t xml:space="preserve">R0422</t>
  </si>
  <si>
    <t xml:space="preserve">R0423</t>
  </si>
  <si>
    <t xml:space="preserve">R0424</t>
  </si>
  <si>
    <t xml:space="preserve">R0425</t>
  </si>
  <si>
    <t xml:space="preserve">R0426</t>
  </si>
  <si>
    <t xml:space="preserve">R0427</t>
  </si>
  <si>
    <t xml:space="preserve">R0428</t>
  </si>
  <si>
    <t xml:space="preserve">R0429</t>
  </si>
  <si>
    <t xml:space="preserve">R0430</t>
  </si>
  <si>
    <t xml:space="preserve">R0431</t>
  </si>
  <si>
    <t xml:space="preserve">R0432</t>
  </si>
  <si>
    <t xml:space="preserve">R0433</t>
  </si>
  <si>
    <t xml:space="preserve">R0434</t>
  </si>
  <si>
    <t xml:space="preserve">R0435</t>
  </si>
  <si>
    <t xml:space="preserve">R0436</t>
  </si>
  <si>
    <t xml:space="preserve">R0437</t>
  </si>
  <si>
    <t xml:space="preserve">R0438</t>
  </si>
  <si>
    <t xml:space="preserve">R0439</t>
  </si>
  <si>
    <t xml:space="preserve">R0440</t>
  </si>
  <si>
    <t xml:space="preserve">R0441</t>
  </si>
  <si>
    <t xml:space="preserve">R0442</t>
  </si>
  <si>
    <t xml:space="preserve">R0443</t>
  </si>
  <si>
    <t xml:space="preserve">R0444</t>
  </si>
  <si>
    <t xml:space="preserve">R0445</t>
  </si>
  <si>
    <t xml:space="preserve">R0446</t>
  </si>
  <si>
    <t xml:space="preserve">R0447</t>
  </si>
  <si>
    <t xml:space="preserve">R0448</t>
  </si>
  <si>
    <t xml:space="preserve">R0449</t>
  </si>
  <si>
    <t xml:space="preserve">R0450</t>
  </si>
  <si>
    <t xml:space="preserve">R0451</t>
  </si>
  <si>
    <t xml:space="preserve">R0452</t>
  </si>
  <si>
    <t xml:space="preserve">R0453</t>
  </si>
  <si>
    <t xml:space="preserve">R0454</t>
  </si>
  <si>
    <t xml:space="preserve">R0455</t>
  </si>
  <si>
    <t xml:space="preserve">R0456</t>
  </si>
  <si>
    <t xml:space="preserve">R0457</t>
  </si>
  <si>
    <t xml:space="preserve">R0458</t>
  </si>
  <si>
    <t xml:space="preserve">R0459</t>
  </si>
  <si>
    <t xml:space="preserve">R0460</t>
  </si>
  <si>
    <t xml:space="preserve">R0461</t>
  </si>
  <si>
    <t xml:space="preserve">R0462</t>
  </si>
  <si>
    <t xml:space="preserve">R0463</t>
  </si>
  <si>
    <t xml:space="preserve">R0464</t>
  </si>
  <si>
    <t xml:space="preserve">R0465</t>
  </si>
  <si>
    <t xml:space="preserve">R0466</t>
  </si>
  <si>
    <t xml:space="preserve">R0467</t>
  </si>
  <si>
    <t xml:space="preserve">R0468</t>
  </si>
  <si>
    <t xml:space="preserve">R0469</t>
  </si>
  <si>
    <t xml:space="preserve">R0470</t>
  </si>
  <si>
    <t xml:space="preserve">R0471</t>
  </si>
  <si>
    <t xml:space="preserve">R0472</t>
  </si>
  <si>
    <t xml:space="preserve">R0473</t>
  </si>
  <si>
    <t xml:space="preserve">R0474</t>
  </si>
  <si>
    <t xml:space="preserve">R0475</t>
  </si>
  <si>
    <t xml:space="preserve">R0476</t>
  </si>
  <si>
    <t xml:space="preserve">R0477</t>
  </si>
  <si>
    <t xml:space="preserve">R0478</t>
  </si>
  <si>
    <t xml:space="preserve">R0479</t>
  </si>
  <si>
    <t xml:space="preserve">R0480</t>
  </si>
  <si>
    <t xml:space="preserve">R0481</t>
  </si>
  <si>
    <t xml:space="preserve">R0482</t>
  </si>
  <si>
    <t xml:space="preserve">R0483</t>
  </si>
  <si>
    <t xml:space="preserve">R0484</t>
  </si>
  <si>
    <t xml:space="preserve">R0485</t>
  </si>
  <si>
    <t xml:space="preserve">R0486</t>
  </si>
  <si>
    <t xml:space="preserve">R0487</t>
  </si>
  <si>
    <t xml:space="preserve">R0488</t>
  </si>
  <si>
    <t xml:space="preserve">R0489</t>
  </si>
  <si>
    <t xml:space="preserve">R0490</t>
  </si>
  <si>
    <t xml:space="preserve">R0491</t>
  </si>
  <si>
    <t xml:space="preserve">R0492</t>
  </si>
  <si>
    <t xml:space="preserve">R0493</t>
  </si>
  <si>
    <t xml:space="preserve">R0494</t>
  </si>
  <si>
    <t xml:space="preserve">R0495</t>
  </si>
  <si>
    <t xml:space="preserve">R0496</t>
  </si>
  <si>
    <t xml:space="preserve">R0497</t>
  </si>
  <si>
    <t xml:space="preserve">R0498</t>
  </si>
  <si>
    <t xml:space="preserve">R0499</t>
  </si>
  <si>
    <t xml:space="preserve">R0500</t>
  </si>
  <si>
    <t xml:space="preserve">R0501</t>
  </si>
  <si>
    <t xml:space="preserve">R0502</t>
  </si>
  <si>
    <t xml:space="preserve">R0503</t>
  </si>
  <si>
    <t xml:space="preserve">R0504</t>
  </si>
  <si>
    <t xml:space="preserve">R0505</t>
  </si>
  <si>
    <t xml:space="preserve">R0506</t>
  </si>
  <si>
    <t xml:space="preserve">R0507</t>
  </si>
  <si>
    <t xml:space="preserve">R0508</t>
  </si>
  <si>
    <t xml:space="preserve">R0509</t>
  </si>
  <si>
    <t xml:space="preserve">R0510</t>
  </si>
  <si>
    <t xml:space="preserve">R0511</t>
  </si>
  <si>
    <t xml:space="preserve">R0512</t>
  </si>
  <si>
    <t xml:space="preserve">R0513</t>
  </si>
  <si>
    <t xml:space="preserve">R0514</t>
  </si>
  <si>
    <t xml:space="preserve">R0515</t>
  </si>
  <si>
    <t xml:space="preserve">R0516</t>
  </si>
  <si>
    <t xml:space="preserve">R0517</t>
  </si>
  <si>
    <t xml:space="preserve">R0518</t>
  </si>
  <si>
    <t xml:space="preserve">R0519</t>
  </si>
  <si>
    <t xml:space="preserve">R0520</t>
  </si>
  <si>
    <t xml:space="preserve">R0521</t>
  </si>
  <si>
    <t xml:space="preserve">R0522</t>
  </si>
  <si>
    <t xml:space="preserve">R0523</t>
  </si>
  <si>
    <t xml:space="preserve">R0524</t>
  </si>
  <si>
    <t xml:space="preserve">R0525</t>
  </si>
  <si>
    <t xml:space="preserve">R0526</t>
  </si>
  <si>
    <t xml:space="preserve">R0527</t>
  </si>
  <si>
    <t xml:space="preserve">R0528</t>
  </si>
  <si>
    <t xml:space="preserve">R0529</t>
  </si>
  <si>
    <t xml:space="preserve">R0530</t>
  </si>
  <si>
    <t xml:space="preserve">R0531</t>
  </si>
  <si>
    <t xml:space="preserve">R0532</t>
  </si>
  <si>
    <t xml:space="preserve">R0533</t>
  </si>
  <si>
    <t xml:space="preserve">R0534</t>
  </si>
  <si>
    <t xml:space="preserve">R0535</t>
  </si>
  <si>
    <t xml:space="preserve">R0536</t>
  </si>
  <si>
    <t xml:space="preserve">R0537</t>
  </si>
  <si>
    <t xml:space="preserve">R0538</t>
  </si>
  <si>
    <t xml:space="preserve">R0539</t>
  </si>
  <si>
    <t xml:space="preserve">R0540</t>
  </si>
  <si>
    <t xml:space="preserve">R0541</t>
  </si>
  <si>
    <t xml:space="preserve">R0542</t>
  </si>
  <si>
    <t xml:space="preserve">R0543</t>
  </si>
  <si>
    <t xml:space="preserve">R0544</t>
  </si>
  <si>
    <t xml:space="preserve">R0545</t>
  </si>
  <si>
    <t xml:space="preserve">R0546</t>
  </si>
  <si>
    <t xml:space="preserve">R0547</t>
  </si>
  <si>
    <t xml:space="preserve">R0548</t>
  </si>
  <si>
    <t xml:space="preserve">R0549</t>
  </si>
  <si>
    <t xml:space="preserve">R0550</t>
  </si>
  <si>
    <t xml:space="preserve">R0551</t>
  </si>
  <si>
    <t xml:space="preserve">R0552</t>
  </si>
  <si>
    <t xml:space="preserve">R0553</t>
  </si>
  <si>
    <t xml:space="preserve">R0554</t>
  </si>
  <si>
    <t xml:space="preserve">R0555</t>
  </si>
  <si>
    <t xml:space="preserve">R0556</t>
  </si>
  <si>
    <t xml:space="preserve">R0557</t>
  </si>
  <si>
    <t xml:space="preserve">R0558</t>
  </si>
  <si>
    <t xml:space="preserve">R0559</t>
  </si>
  <si>
    <t xml:space="preserve">R0560</t>
  </si>
  <si>
    <t xml:space="preserve">R0561</t>
  </si>
  <si>
    <t xml:space="preserve">R0562</t>
  </si>
  <si>
    <t xml:space="preserve">R0563</t>
  </si>
  <si>
    <t xml:space="preserve">R0564</t>
  </si>
  <si>
    <t xml:space="preserve">R0565</t>
  </si>
  <si>
    <t xml:space="preserve">R0566</t>
  </si>
  <si>
    <t xml:space="preserve">R0567</t>
  </si>
  <si>
    <t xml:space="preserve">R0568</t>
  </si>
  <si>
    <t xml:space="preserve">R0569</t>
  </si>
  <si>
    <t xml:space="preserve">R0570</t>
  </si>
  <si>
    <t xml:space="preserve">R0571</t>
  </si>
  <si>
    <t xml:space="preserve">R0572</t>
  </si>
  <si>
    <t xml:space="preserve">R0573</t>
  </si>
  <si>
    <t xml:space="preserve">R0574</t>
  </si>
  <si>
    <t xml:space="preserve">R0575</t>
  </si>
  <si>
    <t xml:space="preserve">R0576</t>
  </si>
  <si>
    <t xml:space="preserve">R0577</t>
  </si>
  <si>
    <t xml:space="preserve">R0578</t>
  </si>
  <si>
    <t xml:space="preserve">R0579</t>
  </si>
  <si>
    <t xml:space="preserve">R0580</t>
  </si>
  <si>
    <t xml:space="preserve">R0581</t>
  </si>
  <si>
    <t xml:space="preserve">R0582</t>
  </si>
  <si>
    <t xml:space="preserve">R0583</t>
  </si>
  <si>
    <t xml:space="preserve">R0584</t>
  </si>
  <si>
    <t xml:space="preserve">R0585</t>
  </si>
  <si>
    <t xml:space="preserve">R0586</t>
  </si>
  <si>
    <t xml:space="preserve">R0587</t>
  </si>
  <si>
    <t xml:space="preserve">Room_ID</t>
  </si>
  <si>
    <t xml:space="preserve">Room_Name</t>
  </si>
  <si>
    <t xml:space="preserve">Block</t>
  </si>
  <si>
    <t xml:space="preserve">Floor</t>
  </si>
  <si>
    <t xml:space="preserve">Capacity_Students</t>
  </si>
  <si>
    <t xml:space="preserve">Parallel_Classes</t>
  </si>
  <si>
    <t xml:space="preserve">Assigned_Section</t>
  </si>
  <si>
    <t xml:space="preserve">Classroom A-101</t>
  </si>
  <si>
    <t xml:space="preserve">Classroom A-102</t>
  </si>
  <si>
    <t xml:space="preserve">Classroom A-103</t>
  </si>
  <si>
    <t xml:space="preserve">Classroom A-104</t>
  </si>
  <si>
    <t xml:space="preserve">Classroom A-105</t>
  </si>
  <si>
    <t xml:space="preserve">Classroom A-106</t>
  </si>
  <si>
    <t xml:space="preserve">Classroom A-107</t>
  </si>
  <si>
    <t xml:space="preserve">Classroom A-108</t>
  </si>
  <si>
    <t xml:space="preserve">Classroom A-201</t>
  </si>
  <si>
    <t xml:space="preserve">Classroom A-202</t>
  </si>
  <si>
    <t xml:space="preserve">Classroom A-203</t>
  </si>
  <si>
    <t xml:space="preserve">Classroom A-204</t>
  </si>
  <si>
    <t xml:space="preserve">Classroom A-205</t>
  </si>
  <si>
    <t xml:space="preserve">Classroom A-206</t>
  </si>
  <si>
    <t xml:space="preserve">Classroom B-101</t>
  </si>
  <si>
    <t xml:space="preserve">Classroom B-102</t>
  </si>
  <si>
    <t xml:space="preserve">Classroom B-103</t>
  </si>
  <si>
    <t xml:space="preserve">Classroom B-104</t>
  </si>
  <si>
    <t xml:space="preserve">Classroom B-105</t>
  </si>
  <si>
    <t xml:space="preserve">Classroom B-106</t>
  </si>
  <si>
    <t xml:space="preserve">Classroom B-107</t>
  </si>
  <si>
    <t xml:space="preserve">Classroom B-108</t>
  </si>
  <si>
    <t xml:space="preserve">Classroom B-201</t>
  </si>
  <si>
    <t xml:space="preserve">Classroom B-202</t>
  </si>
  <si>
    <t xml:space="preserve">Classroom B-203</t>
  </si>
  <si>
    <t xml:space="preserve">Classroom B-204</t>
  </si>
  <si>
    <t xml:space="preserve">Classroom B-205</t>
  </si>
  <si>
    <t xml:space="preserve">Classroom B-206</t>
  </si>
  <si>
    <t xml:space="preserve">Classroom B-207</t>
  </si>
  <si>
    <t xml:space="preserve">Classroom B-208</t>
  </si>
  <si>
    <t xml:space="preserve">Classroom B-301</t>
  </si>
  <si>
    <t xml:space="preserve">Classroom B-302</t>
  </si>
  <si>
    <t xml:space="preserve">Classroom B-303</t>
  </si>
  <si>
    <t xml:space="preserve">Classroom B-304</t>
  </si>
  <si>
    <t xml:space="preserve">Classroom B-305</t>
  </si>
  <si>
    <t xml:space="preserve">Classroom B-306</t>
  </si>
  <si>
    <t xml:space="preserve">Classroom B-307</t>
  </si>
  <si>
    <t xml:space="preserve">Classroom C-101</t>
  </si>
  <si>
    <t xml:space="preserve">Classroom C-102</t>
  </si>
  <si>
    <t xml:space="preserve">Classroom C-103</t>
  </si>
  <si>
    <t xml:space="preserve">Classroom C-104</t>
  </si>
  <si>
    <t xml:space="preserve">Classroom C-105</t>
  </si>
  <si>
    <t xml:space="preserve">Classroom C-106</t>
  </si>
  <si>
    <t xml:space="preserve">Classroom C-107</t>
  </si>
  <si>
    <t xml:space="preserve">Classroom C-108</t>
  </si>
  <si>
    <t xml:space="preserve">Classroom C-201</t>
  </si>
  <si>
    <t xml:space="preserve">Classroom C-202</t>
  </si>
  <si>
    <t xml:space="preserve">Classroom C-203</t>
  </si>
  <si>
    <t xml:space="preserve">Classroom C-204</t>
  </si>
  <si>
    <t xml:space="preserve">Classroom C-205</t>
  </si>
  <si>
    <t xml:space="preserve">Classroom C-206</t>
  </si>
  <si>
    <t xml:space="preserve">Classroom C-207</t>
  </si>
  <si>
    <t xml:space="preserve">Classroom C-208</t>
  </si>
  <si>
    <t xml:space="preserve">Classroom C-301</t>
  </si>
  <si>
    <t xml:space="preserve">Classroom C-302</t>
  </si>
  <si>
    <t xml:space="preserve">CL-1</t>
  </si>
  <si>
    <t xml:space="preserve">Computer Lab 1</t>
  </si>
  <si>
    <t xml:space="preserve">CL-2</t>
  </si>
  <si>
    <t xml:space="preserve">Computer Lab 2</t>
  </si>
  <si>
    <t xml:space="preserve">PL-1</t>
  </si>
  <si>
    <t xml:space="preserve">CH-1</t>
  </si>
  <si>
    <t xml:space="preserve">BL-1</t>
  </si>
  <si>
    <t xml:space="preserve">LIB-1</t>
  </si>
  <si>
    <t xml:space="preserve">PG-1</t>
  </si>
  <si>
    <t xml:space="preserve">Sports Ground</t>
  </si>
  <si>
    <t xml:space="preserve">PA-1</t>
  </si>
  <si>
    <t xml:space="preserve">Pre-Primary Play Area</t>
  </si>
  <si>
    <t xml:space="preserve">AR-1</t>
  </si>
  <si>
    <t xml:space="preserve">Art Room 1</t>
  </si>
  <si>
    <t xml:space="preserve">AR-2</t>
  </si>
  <si>
    <t xml:space="preserve">Art Room 2</t>
  </si>
  <si>
    <t xml:space="preserve">MR-1</t>
  </si>
  <si>
    <t xml:space="preserve">DS-1</t>
  </si>
  <si>
    <t xml:space="preserve">Teacher demand vs supply (live formulas)</t>
  </si>
  <si>
    <t xml:space="preserve">Demand = periods per week all sections need (Requirements). Supply = Max_Periods_Week of teachers whose Primary_Subject and Designation match. Effective capacity counts only teachers with Status = Active.</t>
  </si>
  <si>
    <t xml:space="preserve">Count</t>
  </si>
  <si>
    <t xml:space="preserve">Thresholds (edit to taste)</t>
  </si>
  <si>
    <t xml:space="preserve">SHORTAGE</t>
  </si>
  <si>
    <t xml:space="preserve">TIGHT when utilization &gt;=</t>
  </si>
  <si>
    <t xml:space="preserve">TIGHT</t>
  </si>
  <si>
    <t xml:space="preserve">BALANCED when utilization &gt;=</t>
  </si>
  <si>
    <t xml:space="preserve">BALANCED</t>
  </si>
  <si>
    <t xml:space="preserve">Below the BALANCED line = SURPLUS; above 100% = SHORTAGE.</t>
  </si>
  <si>
    <t xml:space="preserve">SURPLUS</t>
  </si>
  <si>
    <t xml:space="preserve">NO TEACHER</t>
  </si>
  <si>
    <t xml:space="preserve">Subject</t>
  </si>
  <si>
    <t xml:space="preserve">Classes_Covered</t>
  </si>
  <si>
    <t xml:space="preserve">Periods_Needed_Week</t>
  </si>
  <si>
    <t xml:space="preserve">Teachers_On_Roll</t>
  </si>
  <si>
    <t xml:space="preserve">Teachers_Active</t>
  </si>
  <si>
    <t xml:space="preserve">Nominal_Capacity</t>
  </si>
  <si>
    <t xml:space="preserve">Effective_Capacity</t>
  </si>
  <si>
    <t xml:space="preserve">Gap (Capacity - Need)</t>
  </si>
  <si>
    <t xml:space="preserve">Utilization</t>
  </si>
  <si>
    <t xml:space="preserve">Teachers_Short(-)/Spare(+)</t>
  </si>
  <si>
    <t xml:space="preserve">Class 6-10 (Computer 1-10)</t>
  </si>
  <si>
    <t xml:space="preserve">All / per subject</t>
  </si>
  <si>
    <t xml:space="preserve">TOTAL</t>
  </si>
  <si>
    <t xml:space="preserve">Specialised room capacity check (live formulas)</t>
  </si>
  <si>
    <t xml:space="preserve">Weekly period slots per room</t>
  </si>
  <si>
    <t xml:space="preserve">Assumption: 8 periods x 6 days. Only lessons with Room_Mandatory = Y are counted.</t>
  </si>
  <si>
    <t xml:space="preserve">Rooms_Available</t>
  </si>
  <si>
    <t xml:space="preserve">Classes_At_Once</t>
  </si>
  <si>
    <t xml:space="preserve">Slot_Capacity_Week</t>
  </si>
  <si>
    <t xml:space="preserve">Note</t>
  </si>
  <si>
    <t xml:space="preserve">All Computer Science / IT periods for Class 1-12</t>
  </si>
  <si>
    <t xml:space="preserve">Senior Physics only</t>
  </si>
  <si>
    <t xml:space="preserve">Senior Chemistry only</t>
  </si>
  <si>
    <t xml:space="preserve">Senior Biology (PCB) only</t>
  </si>
  <si>
    <t xml:space="preserve">Library periods for Class 1-12</t>
  </si>
  <si>
    <t xml:space="preserve">Physical Education Class 1-12</t>
  </si>
  <si>
    <t xml:space="preserve">Pre-Primary Physical Activity</t>
  </si>
  <si>
    <t xml:space="preserve">Dance periods for Class 1-8</t>
  </si>
  <si>
    <t xml:space="preserve">Issue_ID</t>
  </si>
  <si>
    <t xml:space="preserve">Type</t>
  </si>
  <si>
    <t xml:space="preserve">Severity</t>
  </si>
  <si>
    <t xml:space="preserve">Area</t>
  </si>
  <si>
    <t xml:space="preserve">What is wrong</t>
  </si>
  <si>
    <t xml:space="preserve">Numbers / evidence</t>
  </si>
  <si>
    <t xml:space="preserve">How the website should handle or test it</t>
  </si>
  <si>
    <t xml:space="preserve">ISS-01</t>
  </si>
  <si>
    <t xml:space="preserve">Shortage</t>
  </si>
  <si>
    <t xml:space="preserve">High</t>
  </si>
  <si>
    <t xml:space="preserve">Physics (PGT)</t>
  </si>
  <si>
    <t xml:space="preserve">Only one Physics teacher (T001 Nidhi Tiwari) for 5 science sections in Class 11-12.</t>
  </si>
  <si>
    <t xml:space="preserve">Need 45 periods/week, capacity 26 (max load) -&gt; short by 19 periods.</t>
  </si>
  <si>
    <t xml:space="preserve">Timetable generator should leave the overflow Physics periods unassigned and report exactly which sections are affected, not crash or silently drop them.</t>
  </si>
  <si>
    <t xml:space="preserve">ISS-02</t>
  </si>
  <si>
    <t xml:space="preserve">Shortage (leave)</t>
  </si>
  <si>
    <t xml:space="preserve">Mathematics (PGT)</t>
  </si>
  <si>
    <t xml:space="preserve">Two senior Maths teachers on roll, but T002 Madhu Sinha is on maternity leave until 31-Jan-2027. She is also the class teacher of 11-C.</t>
  </si>
  <si>
    <t xml:space="preserve">Need 51 periods/week. Nominal capacity 52 (looks fine), effective capacity 26 -&gt; short by 25.</t>
  </si>
  <si>
    <t xml:space="preserve">Respect Teachers.Status / Status_Till. Show a 'needs substitute class teacher' warning for 11-C. Test that On Leave teachers get zero periods.</t>
  </si>
  <si>
    <t xml:space="preserve">ISS-03</t>
  </si>
  <si>
    <t xml:space="preserve">Shortage (marginal)</t>
  </si>
  <si>
    <t xml:space="preserve">Medium</t>
  </si>
  <si>
    <t xml:space="preserve">Accountancy and Business Studies (PGT)</t>
  </si>
  <si>
    <t xml:space="preserve">One teacher each (T004 Pradeep Malhotra; T019 Rohit Jain) and the commerce sections need slightly more than a full load.</t>
  </si>
  <si>
    <t xml:space="preserve">Accountancy need 30 vs capacity 26; Business Studies need 27 vs capacity 26.</t>
  </si>
  <si>
    <t xml:space="preserve">Small gaps (4 and 1 periods) - checks that the app shows partial shortages, and that Economics teachers with BST/ACC as secondary subject can be suggested.</t>
  </si>
  <si>
    <t xml:space="preserve">ISS-04</t>
  </si>
  <si>
    <t xml:space="preserve">Sanskrit (TGT)</t>
  </si>
  <si>
    <t xml:space="preserve">One Sanskrit teacher (T011 Tarun Khanna) for 11 sections of Class 6-8.</t>
  </si>
  <si>
    <t xml:space="preserve">Need 44 periods/week, capacity 30 -&gt; short by 14.</t>
  </si>
  <si>
    <t xml:space="preserve">Fix is possible from the Hindi surplus: 3 Hindi TGTs list Sanskrit as Secondary_Subject (T009 Radha Bansal, T028 Poonam Thakur, T044 Pallavi Walia). Good test for 'suggest from secondary subject' logic.</t>
  </si>
  <si>
    <t xml:space="preserve">ISS-05</t>
  </si>
  <si>
    <t xml:space="preserve">Computer (Class 1-10)</t>
  </si>
  <si>
    <t xml:space="preserve">Only 2 full-time and 1 part-time computer teacher (T022 Renu Banerjee, Mon/Wed/Fri only) for 38 sections of Class 1-10.</t>
  </si>
  <si>
    <t xml:space="preserve">Need 96 periods/week, capacity 75 -&gt; short by 21.</t>
  </si>
  <si>
    <t xml:space="preserve">Teachers with CS as secondary subject: T025 Bhavna Gill, T029 Vinod Ghosh, T030 Rajesh Kumar, T076 Pankaj Reddy.</t>
  </si>
  <si>
    <t xml:space="preserve">ISS-06</t>
  </si>
  <si>
    <t xml:space="preserve">One full-time music teacher plus one part-time (T092 Renu Joshi, Tue/Thu only).</t>
  </si>
  <si>
    <t xml:space="preserve">Need 51 periods/week, capacity 40 -&gt; short by 11.</t>
  </si>
  <si>
    <t xml:space="preserve">The visiting dance teacher (T067 Varsha Sinha) lists Music as a secondary subject and could cover part of the gap.</t>
  </si>
  <si>
    <t xml:space="preserve">ISS-07</t>
  </si>
  <si>
    <t xml:space="preserve">Dance is taught by a visiting teacher (T067 Varsha Sinha) available Mon/Wed/Fri only, max 12 periods a week.</t>
  </si>
  <si>
    <t xml:space="preserve">Need 30 periods/week, capacity 12 -&gt; short by 18.</t>
  </si>
  <si>
    <t xml:space="preserve">Some Class 1-8 sections will not get all their Dance periods. The full-time music teacher lists Dance as a secondary subject.</t>
  </si>
  <si>
    <t xml:space="preserve">ISS-08</t>
  </si>
  <si>
    <t xml:space="preserve">One librarian (T050 Renu Tandon) for library periods of all 48 sections of Class 1-12.</t>
  </si>
  <si>
    <t xml:space="preserve">Need 55 periods/week, capacity 30 -&gt; short by 25.</t>
  </si>
  <si>
    <t xml:space="preserve">Tests handling of a single-teacher subject that spans every wing.</t>
  </si>
  <si>
    <t xml:space="preserve">ISS-09</t>
  </si>
  <si>
    <t xml:space="preserve">Surplus</t>
  </si>
  <si>
    <t xml:space="preserve">EVS (Primary)</t>
  </si>
  <si>
    <t xml:space="preserve">3 teachers for a small workload. EVS exists only in Class 1-2, but 3 PRTs are hired for it.</t>
  </si>
  <si>
    <t xml:space="preserve">Need 35 periods/week, capacity 90 -&gt; utilization 39% (about 1.8 teachers spare).</t>
  </si>
  <si>
    <t xml:space="preserve">App should show these as under-used and avoid forcing full loads. Spare teachers can cover shortage subjects via their secondary subjects.</t>
  </si>
  <si>
    <t xml:space="preserve">ISS-10</t>
  </si>
  <si>
    <t xml:space="preserve">Low</t>
  </si>
  <si>
    <t xml:space="preserve">Social Science (Primary)</t>
  </si>
  <si>
    <t xml:space="preserve">3 teachers for a small workload. Only Class 3-5 teach it (12 sections x 4 periods).</t>
  </si>
  <si>
    <t xml:space="preserve">Need 48 periods/week, capacity 90 -&gt; utilization 53% (about 1.4 teachers spare).</t>
  </si>
  <si>
    <t xml:space="preserve">ISS-11</t>
  </si>
  <si>
    <t xml:space="preserve">Hindi (Class 6-10)</t>
  </si>
  <si>
    <t xml:space="preserve">7 teachers for a small workload. Seven TGTs for the Hindi periods of 19 sections; three of them also list Sanskrit as a secondary subject.</t>
  </si>
  <si>
    <t xml:space="preserve">Need 114 periods/week, capacity 210 -&gt; utilization 54% (about 3.2 teachers spare).</t>
  </si>
  <si>
    <t xml:space="preserve">ISS-12</t>
  </si>
  <si>
    <t xml:space="preserve">Social Science (Class 6-10)</t>
  </si>
  <si>
    <t xml:space="preserve">7 teachers for a small workload. Seven TGTs for 19 sections.</t>
  </si>
  <si>
    <t xml:space="preserve">Need 122 periods/week, capacity 210 -&gt; utilization 58% (about 2.9 teachers spare).</t>
  </si>
  <si>
    <t xml:space="preserve">ISS-13</t>
  </si>
  <si>
    <t xml:space="preserve">History (Class 11-12)</t>
  </si>
  <si>
    <t xml:space="preserve">2 teachers for a small workload. Only 2 Humanities sections exist (11-F, 12-D) but two History PGTs are on roll.</t>
  </si>
  <si>
    <t xml:space="preserve">Need 18 periods/week, capacity 52 -&gt; utilization 35% (about 1.1 teachers spare).</t>
  </si>
  <si>
    <t xml:space="preserve">ISS-14</t>
  </si>
  <si>
    <t xml:space="preserve">Tight / upcoming</t>
  </si>
  <si>
    <t xml:space="preserve">Hindi (Primary) and other near-full subjects</t>
  </si>
  <si>
    <t xml:space="preserve">These groups run at 94-100% of capacity, so there is no room for substitution or free periods: NTT Hindi (28/28), PRT Hindi, PRT Maths, TGT English, TGT Maths, Psychology (14/15). T059 Smita Bansal (PRT Hindi) is serving notice and leaves on 30-Nov-2026.</t>
  </si>
  <si>
    <t xml:space="preserve">PRT Hindi: need 114, capacity now 120; after the notice teacher leaves 90 -&gt; short by 24.</t>
  </si>
  <si>
    <t xml:space="preserve">Use Status_Till to simulate the timetable after a given date. Very high utilization is a good stress test: Max_Periods_Day limits may make it unsolvable.</t>
  </si>
  <si>
    <t xml:space="preserve">ISS-15</t>
  </si>
  <si>
    <t xml:space="preserve">Data quality</t>
  </si>
  <si>
    <t xml:space="preserve">Teacher names</t>
  </si>
  <si>
    <t xml:space="preserve">Two pairs of different teachers share the same full name (different IDs, different subjects).</t>
  </si>
  <si>
    <t xml:space="preserve">T030 Rajesh Kumar, T037 Sunita Sharma, T041 Sunita Sharma, T093 Rajesh Kumar</t>
  </si>
  <si>
    <t xml:space="preserve">Always join on Teacher_ID, never on name. Show Teacher_ID or subject next to the name in the UI to avoid confusion.</t>
  </si>
  <si>
    <t xml:space="preserve">ISS-16</t>
  </si>
  <si>
    <t xml:space="preserve">Availability</t>
  </si>
  <si>
    <t xml:space="preserve">Part-time / visiting teachers</t>
  </si>
  <si>
    <t xml:space="preserve">Some teachers are only available on certain days and have a low weekly cap.</t>
  </si>
  <si>
    <t xml:space="preserve">T017 Kavita Malhotra (PSY, Mon,Wed,Fri, max 15/wk, 5/day); T022 Renu Banerjee (CS, Mon,Wed,Fri, max 15/wk, 5/day); T067 Varsha Sinha (DAN, Mon,Wed,Fri, max 12/wk, 4/day); T092 Renu Joshi (MUS, Tue,Thu, max 10/wk, 5/day)</t>
  </si>
  <si>
    <t xml:space="preserve">Respect Working_Days and Max_Periods_Day. A subject with 2 periods/week spread over 6 days will clash with a Tue/Thu-only teacher.</t>
  </si>
  <si>
    <t xml:space="preserve">ISS-17</t>
  </si>
  <si>
    <t xml:space="preserve">Configuration</t>
  </si>
  <si>
    <t xml:space="preserve">Different school week per wing</t>
  </si>
  <si>
    <t xml:space="preserve">Pre-Primary runs Mon-Fri with 6 periods/day (30 slots); Primary runs Mon-Sat with 7 periods (42 slots); Class 6-12 run Mon-Sat with 8 periods (48 slots). NTTs work Mon-Fri only.</t>
  </si>
  <si>
    <t xml:space="preserve">Weekly slots are in Sections.Weekly_Slots; every section's requirements add up exactly to its weekly slots.</t>
  </si>
  <si>
    <t xml:space="preserve">Timetable grid size must change by section. Specialists (Art, Music, PE) work across wings with different bell schedules.</t>
  </si>
  <si>
    <t xml:space="preserve">ISS-18</t>
  </si>
  <si>
    <t xml:space="preserve">Uneven sections</t>
  </si>
  <si>
    <t xml:space="preserve">Number of sections differs by class: Nursery 2, LKG 3, UKG 2, Class 1: 4, 2: 3, 3: 4, 4: 3, 5: 5, 6: 4, 7: 4, 8: 3, 9: 4, 10: 4, Class 11: 6 (3 streams), Class 12: 4.</t>
  </si>
  <si>
    <t xml:space="preserve">55 sections in total. Class 12 has one PCM section while Class 11 has two; 11-E is small (22 students).</t>
  </si>
  <si>
    <t xml:space="preserve">Do not assume equal sections per class. Senior sections have stream-specific subjects (PCM / PCB / Commerce / Humanities).</t>
  </si>
  <si>
    <t xml:space="preserve">ISS-19</t>
  </si>
  <si>
    <t xml:space="preserve">Room</t>
  </si>
  <si>
    <t xml:space="preserve">Computer labs</t>
  </si>
  <si>
    <t xml:space="preserve">Two computer labs, but Computer periods across Class 1-12 need more lab slots than exist.</t>
  </si>
  <si>
    <t xml:space="preserve">117 mandatory lab periods vs 96 slots (2 labs x 48). See Room_Check.</t>
  </si>
  <si>
    <t xml:space="preserve">Even with enough teachers, a clash-free timetable is impossible. The app should detect room shortage separately from teacher shortage.</t>
  </si>
  <si>
    <t xml:space="preserve">ISS-20</t>
  </si>
  <si>
    <t xml:space="preserve">Science labs and ground</t>
  </si>
  <si>
    <t xml:space="preserve">Physics Lab 45/48 and Chemistry Lab 45/48 slots; Sports Ground 180/192 slots.</t>
  </si>
  <si>
    <t xml:space="preserve">Utilization about 94% each. See Room_Check.</t>
  </si>
  <si>
    <t xml:space="preserve">Almost no slack: one extra section or one lost slot creates conflicts.</t>
  </si>
  <si>
    <t xml:space="preserve">ISS-21</t>
  </si>
  <si>
    <t xml:space="preserve">Overcrowded section</t>
  </si>
  <si>
    <t xml:space="preserve">Section 9-B has 48 students but its home room holds 45.</t>
  </si>
  <si>
    <t xml:space="preserve">Home room of 9-B is C-102.</t>
  </si>
  <si>
    <t xml:space="preserve">Show a capacity warning when Sections.Strength &gt; Rooms.Capacity_Students for the home room.</t>
  </si>
  <si>
    <t xml:space="preserve">ISS-22</t>
  </si>
  <si>
    <t xml:space="preserve">Constraint</t>
  </si>
  <si>
    <t xml:space="preserve">Double periods</t>
  </si>
  <si>
    <t xml:space="preserve">Practicals (Class 11-12 Physics, Chemistry, Biology, Computer; Class 3-10 Computer; Class 9-10 Science lab) need one double period per week (see Requirements.Double_Periods).</t>
  </si>
  <si>
    <t xml:space="preserve">A double period cannot straddle the Short Break (after P3) or Lunch (after P6): valid pairs are P1-P2, P2-P3, P4-P5, P5-P6, P7-P8.</t>
  </si>
  <si>
    <t xml:space="preserve">Generator must place consecutive periods in the same lab and not across a break.</t>
  </si>
  <si>
    <t xml:space="preserve">ISS-23</t>
  </si>
  <si>
    <t xml:space="preserve">Class teacher period</t>
  </si>
  <si>
    <t xml:space="preserve">Value Education / Circle Time must always be taken by the section's own class teacher (all 55 sections have one).</t>
  </si>
  <si>
    <t xml:space="preserve">Class teacher of 11-C (T002 Madhu Sinha) is on leave - see ISS-02.</t>
  </si>
  <si>
    <t xml:space="preserve">Place the class-teacher period in a slot when that teacher is free; supply a substitute when the class teacher is unavailable.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</si>
</sst>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dd\-mmm\-yyyy"/>
    <numFmt numFmtId="167" formatCode="General"/>
    <numFmt numFmtId="168" formatCode="0%"/>
    <numFmt numFmtId="169" formatCode="\+#,##0;\-#,##0;0"/>
    <numFmt numFmtId="170" formatCode="\+0.0;\-0.0;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BDD7EE"/>
        </patternFill>
      </fill>
    </dxf>
    <dxf>
      <fill>
        <patternFill>
          <bgColor rgb="FFFF9999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6E0B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E699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67.15" hidden="false" customHeight="false" outlineLevel="0" collapsed="false">
      <c r="A1" s="1" t="s">
        <v>0</v>
      </c>
    </row>
    <row r="2" customFormat="false" ht="57.4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COUNTA(Sections!A2:A56)</f>
        <v>55</v>
      </c>
    </row>
    <row r="6" customFormat="false" ht="15" hidden="false" customHeight="false" outlineLevel="0" collapsed="false">
      <c r="A6" s="4" t="s">
        <v>4</v>
      </c>
      <c r="B6" s="5" t="n">
        <f aca="false">SUM(Sections!G2:G56)</f>
        <v>1856</v>
      </c>
    </row>
    <row r="7" customFormat="false" ht="15" hidden="false" customHeight="false" outlineLevel="0" collapsed="false">
      <c r="A7" s="4" t="s">
        <v>5</v>
      </c>
      <c r="B7" s="5" t="n">
        <f aca="false">COUNTA(Teachers!A2:A100)</f>
        <v>99</v>
      </c>
    </row>
    <row r="8" customFormat="false" ht="15" hidden="false" customHeight="false" outlineLevel="0" collapsed="false">
      <c r="A8" s="4" t="s">
        <v>6</v>
      </c>
      <c r="B8" s="5" t="n">
        <f aca="false">COUNTIF(Teachers!L2:L100,"&lt;&gt;Active")</f>
        <v>1</v>
      </c>
    </row>
    <row r="9" customFormat="false" ht="15" hidden="false" customHeight="false" outlineLevel="0" collapsed="false">
      <c r="A9" s="4" t="s">
        <v>7</v>
      </c>
      <c r="B9" s="5" t="n">
        <f aca="false">COUNTA(Subjects!A2:A26)</f>
        <v>25</v>
      </c>
    </row>
    <row r="10" customFormat="false" ht="15" hidden="false" customHeight="false" outlineLevel="0" collapsed="false">
      <c r="A10" s="4" t="s">
        <v>8</v>
      </c>
      <c r="B10" s="5" t="n">
        <f aca="false">COUNTA(Rooms!A2:A68)</f>
        <v>67</v>
      </c>
    </row>
    <row r="11" customFormat="false" ht="15" hidden="false" customHeight="false" outlineLevel="0" collapsed="false">
      <c r="A11" s="4" t="s">
        <v>9</v>
      </c>
      <c r="B11" s="5" t="n">
        <f aca="false">COUNTA(Requirements!A2:A588)</f>
        <v>587</v>
      </c>
    </row>
    <row r="12" customFormat="false" ht="15" hidden="false" customHeight="false" outlineLevel="0" collapsed="false">
      <c r="A12" s="4" t="s">
        <v>10</v>
      </c>
      <c r="B12" s="5" t="n">
        <f aca="false">SUM(Requirements!G2:G588)</f>
        <v>2400</v>
      </c>
    </row>
    <row r="13" customFormat="false" ht="15" hidden="false" customHeight="false" outlineLevel="0" collapsed="false">
      <c r="A13" s="4" t="s">
        <v>11</v>
      </c>
      <c r="B13" s="5" t="n">
        <f aca="false">Demand_vs_Supply!B5</f>
        <v>9</v>
      </c>
    </row>
    <row r="14" customFormat="false" ht="15" hidden="false" customHeight="false" outlineLevel="0" collapsed="false">
      <c r="A14" s="4" t="s">
        <v>12</v>
      </c>
      <c r="B14" s="5" t="n">
        <f aca="false">Demand_vs_Supply!B6</f>
        <v>6</v>
      </c>
    </row>
    <row r="15" customFormat="false" ht="15" hidden="false" customHeight="false" outlineLevel="0" collapsed="false">
      <c r="A15" s="4" t="s">
        <v>13</v>
      </c>
      <c r="B15" s="5" t="n">
        <f aca="false">Demand_vs_Supply!B8</f>
        <v>5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6" t="s">
        <v>15</v>
      </c>
      <c r="B18" s="6" t="s">
        <v>16</v>
      </c>
    </row>
    <row r="19" customFormat="false" ht="15" hidden="false" customHeight="false" outlineLevel="0" collapsed="false">
      <c r="A19" s="7" t="s">
        <v>17</v>
      </c>
      <c r="B19" s="8" t="s">
        <v>18</v>
      </c>
    </row>
    <row r="20" customFormat="false" ht="15" hidden="false" customHeight="false" outlineLevel="0" collapsed="false">
      <c r="A20" s="7" t="s">
        <v>3</v>
      </c>
      <c r="B20" s="8" t="s">
        <v>19</v>
      </c>
    </row>
    <row r="21" customFormat="false" ht="15" hidden="false" customHeight="false" outlineLevel="0" collapsed="false">
      <c r="A21" s="7" t="s">
        <v>7</v>
      </c>
      <c r="B21" s="8" t="s">
        <v>20</v>
      </c>
    </row>
    <row r="22" customFormat="false" ht="15" hidden="false" customHeight="false" outlineLevel="0" collapsed="false">
      <c r="A22" s="7" t="s">
        <v>21</v>
      </c>
      <c r="B22" s="8" t="s">
        <v>22</v>
      </c>
    </row>
    <row r="23" customFormat="false" ht="23.85" hidden="false" customHeight="false" outlineLevel="0" collapsed="false">
      <c r="A23" s="7" t="s">
        <v>23</v>
      </c>
      <c r="B23" s="8" t="s">
        <v>24</v>
      </c>
    </row>
    <row r="24" customFormat="false" ht="15" hidden="false" customHeight="false" outlineLevel="0" collapsed="false">
      <c r="A24" s="7" t="s">
        <v>25</v>
      </c>
      <c r="B24" s="8" t="s">
        <v>26</v>
      </c>
    </row>
    <row r="25" customFormat="false" ht="23.85" hidden="false" customHeight="false" outlineLevel="0" collapsed="false">
      <c r="A25" s="7" t="s">
        <v>27</v>
      </c>
      <c r="B25" s="8" t="s">
        <v>28</v>
      </c>
    </row>
    <row r="26" customFormat="false" ht="15" hidden="false" customHeight="false" outlineLevel="0" collapsed="false">
      <c r="A26" s="7" t="s">
        <v>29</v>
      </c>
      <c r="B26" s="8" t="s">
        <v>30</v>
      </c>
    </row>
    <row r="27" customFormat="false" ht="15" hidden="false" customHeight="false" outlineLevel="0" collapsed="false">
      <c r="A27" s="7" t="s">
        <v>31</v>
      </c>
      <c r="B27" s="8" t="s">
        <v>32</v>
      </c>
    </row>
    <row r="29" customFormat="false" ht="15" hidden="false" customHeight="false" outlineLevel="0" collapsed="false">
      <c r="A29" s="3" t="s">
        <v>33</v>
      </c>
    </row>
    <row r="30" customFormat="false" ht="23.85" hidden="false" customHeight="false" outlineLevel="0" collapsed="false">
      <c r="A30" s="4" t="s">
        <v>34</v>
      </c>
    </row>
    <row r="31" customFormat="false" ht="23.85" hidden="false" customHeight="false" outlineLevel="0" collapsed="false">
      <c r="A31" s="4" t="s">
        <v>35</v>
      </c>
    </row>
    <row r="32" customFormat="false" ht="23.85" hidden="false" customHeight="false" outlineLevel="0" collapsed="false">
      <c r="A32" s="4" t="s">
        <v>36</v>
      </c>
    </row>
    <row r="33" customFormat="false" ht="23.85" hidden="false" customHeight="false" outlineLevel="0" collapsed="false">
      <c r="A33" s="4" t="s">
        <v>37</v>
      </c>
    </row>
    <row r="34" customFormat="false" ht="35.05" hidden="false" customHeight="false" outlineLevel="0" collapsed="false">
      <c r="A34" s="4" t="s">
        <v>38</v>
      </c>
    </row>
    <row r="35" customFormat="false" ht="23.85" hidden="false" customHeight="false" outlineLevel="0" collapsed="false">
      <c r="A35" s="4" t="s">
        <v>39</v>
      </c>
    </row>
    <row r="36" customFormat="false" ht="35.05" hidden="false" customHeight="false" outlineLevel="0" collapsed="false">
      <c r="A36" s="4" t="s">
        <v>40</v>
      </c>
    </row>
    <row r="38" customFormat="false" ht="15" hidden="false" customHeight="false" outlineLevel="0" collapsed="false">
      <c r="A38" s="3" t="s">
        <v>41</v>
      </c>
    </row>
    <row r="39" customFormat="false" ht="23.85" hidden="false" customHeight="false" outlineLevel="0" collapsed="false">
      <c r="A39" s="4" t="s">
        <v>42</v>
      </c>
      <c r="B39" s="4" t="s">
        <v>43</v>
      </c>
    </row>
    <row r="40" customFormat="false" ht="15" hidden="false" customHeight="false" outlineLevel="0" collapsed="false">
      <c r="A40" s="4" t="s">
        <v>42</v>
      </c>
      <c r="B40" s="4" t="s">
        <v>44</v>
      </c>
    </row>
    <row r="41" customFormat="false" ht="15" hidden="false" customHeight="false" outlineLevel="0" collapsed="false">
      <c r="A41" s="4" t="s">
        <v>42</v>
      </c>
      <c r="B41" s="4" t="s">
        <v>45</v>
      </c>
    </row>
    <row r="42" customFormat="false" ht="23.85" hidden="false" customHeight="false" outlineLevel="0" collapsed="false">
      <c r="A42" s="4" t="s">
        <v>42</v>
      </c>
      <c r="B42" s="4" t="s">
        <v>46</v>
      </c>
    </row>
    <row r="43" customFormat="false" ht="15" hidden="false" customHeight="false" outlineLevel="0" collapsed="false">
      <c r="A43" s="4" t="s">
        <v>42</v>
      </c>
      <c r="B43" s="4" t="s">
        <v>47</v>
      </c>
    </row>
    <row r="44" customFormat="false" ht="15" hidden="false" customHeight="false" outlineLevel="0" collapsed="false">
      <c r="A44" s="4" t="s">
        <v>42</v>
      </c>
      <c r="B44" s="4" t="s">
        <v>48</v>
      </c>
    </row>
    <row r="46" customFormat="false" ht="35.05" hidden="false" customHeight="false" outlineLevel="0" collapsed="false">
      <c r="A46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3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6.15" hidden="false" customHeight="false" outlineLevel="0" collapsed="false">
      <c r="A1" s="9" t="s">
        <v>50</v>
      </c>
    </row>
    <row r="3" customFormat="false" ht="15" hidden="false" customHeight="false" outlineLevel="0" collapsed="false">
      <c r="A3" s="10" t="s">
        <v>51</v>
      </c>
    </row>
    <row r="4" customFormat="false" ht="15" hidden="false" customHeight="false" outlineLevel="0" collapsed="false">
      <c r="A4" s="6" t="s">
        <v>52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58</v>
      </c>
    </row>
    <row r="5" customFormat="false" ht="15" hidden="false" customHeight="false" outlineLevel="0" collapsed="false">
      <c r="A5" s="8" t="s">
        <v>59</v>
      </c>
      <c r="B5" s="8" t="s">
        <v>60</v>
      </c>
      <c r="C5" s="8" t="s">
        <v>61</v>
      </c>
      <c r="D5" s="8" t="n">
        <v>5</v>
      </c>
      <c r="E5" s="8" t="n">
        <v>6</v>
      </c>
      <c r="F5" s="8" t="n">
        <f aca="false">D5*E5</f>
        <v>30</v>
      </c>
      <c r="G5" s="8" t="s">
        <v>62</v>
      </c>
    </row>
    <row r="6" customFormat="false" ht="15" hidden="false" customHeight="false" outlineLevel="0" collapsed="false">
      <c r="A6" s="8" t="s">
        <v>63</v>
      </c>
      <c r="B6" s="8" t="s">
        <v>64</v>
      </c>
      <c r="C6" s="8" t="s">
        <v>65</v>
      </c>
      <c r="D6" s="8" t="n">
        <v>6</v>
      </c>
      <c r="E6" s="8" t="n">
        <v>7</v>
      </c>
      <c r="F6" s="8" t="n">
        <f aca="false">D6*E6</f>
        <v>42</v>
      </c>
      <c r="G6" s="8" t="s">
        <v>66</v>
      </c>
    </row>
    <row r="7" customFormat="false" ht="15" hidden="false" customHeight="false" outlineLevel="0" collapsed="false">
      <c r="A7" s="8" t="s">
        <v>67</v>
      </c>
      <c r="B7" s="8" t="s">
        <v>68</v>
      </c>
      <c r="C7" s="8" t="s">
        <v>65</v>
      </c>
      <c r="D7" s="8" t="n">
        <v>6</v>
      </c>
      <c r="E7" s="8" t="n">
        <v>8</v>
      </c>
      <c r="F7" s="8" t="n">
        <f aca="false">D7*E7</f>
        <v>48</v>
      </c>
      <c r="G7" s="8" t="s">
        <v>69</v>
      </c>
    </row>
    <row r="8" customFormat="false" ht="15" hidden="false" customHeight="false" outlineLevel="0" collapsed="false">
      <c r="A8" s="8" t="s">
        <v>70</v>
      </c>
      <c r="B8" s="8" t="s">
        <v>71</v>
      </c>
      <c r="C8" s="8" t="s">
        <v>65</v>
      </c>
      <c r="D8" s="8" t="n">
        <v>6</v>
      </c>
      <c r="E8" s="8" t="n">
        <v>8</v>
      </c>
      <c r="F8" s="8" t="n">
        <f aca="false">D8*E8</f>
        <v>48</v>
      </c>
      <c r="G8" s="8" t="s">
        <v>69</v>
      </c>
    </row>
    <row r="9" customFormat="false" ht="15" hidden="false" customHeight="false" outlineLevel="0" collapsed="false">
      <c r="A9" s="8" t="s">
        <v>72</v>
      </c>
      <c r="B9" s="8" t="s">
        <v>73</v>
      </c>
      <c r="C9" s="8" t="s">
        <v>65</v>
      </c>
      <c r="D9" s="8" t="n">
        <v>6</v>
      </c>
      <c r="E9" s="8" t="n">
        <v>8</v>
      </c>
      <c r="F9" s="8" t="n">
        <f aca="false">D9*E9</f>
        <v>48</v>
      </c>
      <c r="G9" s="8" t="s">
        <v>69</v>
      </c>
    </row>
    <row r="11" customFormat="false" ht="15" hidden="false" customHeight="false" outlineLevel="0" collapsed="false">
      <c r="A11" s="10" t="s">
        <v>74</v>
      </c>
    </row>
    <row r="12" customFormat="false" ht="15" hidden="false" customHeight="false" outlineLevel="0" collapsed="false">
      <c r="A12" s="6" t="s">
        <v>75</v>
      </c>
      <c r="B12" s="6" t="s">
        <v>76</v>
      </c>
      <c r="C12" s="6" t="s">
        <v>77</v>
      </c>
      <c r="D12" s="6" t="s">
        <v>78</v>
      </c>
    </row>
    <row r="13" customFormat="false" ht="15" hidden="false" customHeight="false" outlineLevel="0" collapsed="false">
      <c r="A13" s="8" t="s">
        <v>79</v>
      </c>
      <c r="B13" s="8" t="s">
        <v>80</v>
      </c>
      <c r="C13" s="8" t="s">
        <v>81</v>
      </c>
      <c r="D13" s="8" t="s">
        <v>82</v>
      </c>
    </row>
    <row r="14" customFormat="false" ht="15" hidden="false" customHeight="false" outlineLevel="0" collapsed="false">
      <c r="A14" s="8" t="s">
        <v>83</v>
      </c>
      <c r="B14" s="8" t="s">
        <v>81</v>
      </c>
      <c r="C14" s="8" t="s">
        <v>84</v>
      </c>
      <c r="D14" s="8" t="s">
        <v>82</v>
      </c>
    </row>
    <row r="15" customFormat="false" ht="15" hidden="false" customHeight="false" outlineLevel="0" collapsed="false">
      <c r="A15" s="8" t="s">
        <v>85</v>
      </c>
      <c r="B15" s="8" t="s">
        <v>84</v>
      </c>
      <c r="C15" s="8" t="s">
        <v>86</v>
      </c>
      <c r="D15" s="8" t="s">
        <v>82</v>
      </c>
    </row>
    <row r="16" customFormat="false" ht="15" hidden="false" customHeight="false" outlineLevel="0" collapsed="false">
      <c r="A16" s="8" t="s">
        <v>87</v>
      </c>
      <c r="B16" s="8" t="s">
        <v>86</v>
      </c>
      <c r="C16" s="8" t="s">
        <v>88</v>
      </c>
      <c r="D16" s="8" t="s">
        <v>82</v>
      </c>
    </row>
    <row r="17" customFormat="false" ht="15" hidden="false" customHeight="false" outlineLevel="0" collapsed="false">
      <c r="A17" s="8" t="s">
        <v>89</v>
      </c>
      <c r="B17" s="8" t="s">
        <v>88</v>
      </c>
      <c r="C17" s="8" t="s">
        <v>90</v>
      </c>
      <c r="D17" s="8" t="s">
        <v>82</v>
      </c>
    </row>
    <row r="18" customFormat="false" ht="15" hidden="false" customHeight="false" outlineLevel="0" collapsed="false">
      <c r="A18" s="8" t="s">
        <v>91</v>
      </c>
      <c r="B18" s="8" t="s">
        <v>90</v>
      </c>
      <c r="C18" s="8" t="s">
        <v>92</v>
      </c>
      <c r="D18" s="8" t="s">
        <v>82</v>
      </c>
    </row>
    <row r="19" customFormat="false" ht="35.05" hidden="false" customHeight="false" outlineLevel="0" collapsed="false">
      <c r="A19" s="8" t="s">
        <v>93</v>
      </c>
      <c r="B19" s="8" t="s">
        <v>92</v>
      </c>
      <c r="C19" s="8" t="s">
        <v>62</v>
      </c>
      <c r="D19" s="8" t="s">
        <v>94</v>
      </c>
    </row>
    <row r="20" customFormat="false" ht="15" hidden="false" customHeight="false" outlineLevel="0" collapsed="false">
      <c r="A20" s="8" t="s">
        <v>95</v>
      </c>
      <c r="B20" s="8" t="s">
        <v>62</v>
      </c>
      <c r="C20" s="8" t="s">
        <v>96</v>
      </c>
      <c r="D20" s="8" t="s">
        <v>97</v>
      </c>
    </row>
    <row r="21" customFormat="false" ht="15" hidden="false" customHeight="false" outlineLevel="0" collapsed="false">
      <c r="A21" s="8" t="s">
        <v>98</v>
      </c>
      <c r="B21" s="8" t="s">
        <v>96</v>
      </c>
      <c r="C21" s="8" t="s">
        <v>66</v>
      </c>
      <c r="D21" s="8" t="s">
        <v>97</v>
      </c>
    </row>
    <row r="22" customFormat="false" ht="15" hidden="false" customHeight="false" outlineLevel="0" collapsed="false">
      <c r="A22" s="8" t="s">
        <v>99</v>
      </c>
      <c r="B22" s="8" t="s">
        <v>66</v>
      </c>
      <c r="C22" s="8" t="s">
        <v>69</v>
      </c>
      <c r="D22" s="8" t="s">
        <v>100</v>
      </c>
    </row>
    <row r="24" customFormat="false" ht="15" hidden="false" customHeight="false" outlineLevel="0" collapsed="false">
      <c r="A24" s="10" t="s">
        <v>101</v>
      </c>
    </row>
    <row r="25" customFormat="false" ht="23.85" hidden="false" customHeight="false" outlineLevel="0" collapsed="false">
      <c r="A25" s="6" t="s">
        <v>102</v>
      </c>
      <c r="B25" s="6" t="s">
        <v>103</v>
      </c>
      <c r="C25" s="6" t="s">
        <v>104</v>
      </c>
      <c r="D25" s="6" t="s">
        <v>105</v>
      </c>
      <c r="E25" s="6" t="s">
        <v>106</v>
      </c>
      <c r="F25" s="6" t="s">
        <v>107</v>
      </c>
    </row>
    <row r="26" customFormat="false" ht="15" hidden="false" customHeight="false" outlineLevel="0" collapsed="false">
      <c r="A26" s="8" t="s">
        <v>108</v>
      </c>
      <c r="B26" s="8" t="s">
        <v>109</v>
      </c>
      <c r="C26" s="8" t="s">
        <v>110</v>
      </c>
      <c r="D26" s="8" t="n">
        <v>28</v>
      </c>
      <c r="E26" s="8" t="n">
        <v>6</v>
      </c>
      <c r="F26" s="8" t="s">
        <v>61</v>
      </c>
    </row>
    <row r="27" customFormat="false" ht="15" hidden="false" customHeight="false" outlineLevel="0" collapsed="false">
      <c r="A27" s="8" t="s">
        <v>111</v>
      </c>
      <c r="B27" s="8" t="s">
        <v>112</v>
      </c>
      <c r="C27" s="8" t="s">
        <v>64</v>
      </c>
      <c r="D27" s="8" t="n">
        <v>30</v>
      </c>
      <c r="E27" s="8" t="n">
        <v>6</v>
      </c>
      <c r="F27" s="8" t="s">
        <v>65</v>
      </c>
    </row>
    <row r="28" customFormat="false" ht="15" hidden="false" customHeight="false" outlineLevel="0" collapsed="false">
      <c r="A28" s="8" t="s">
        <v>113</v>
      </c>
      <c r="B28" s="8" t="s">
        <v>114</v>
      </c>
      <c r="C28" s="8" t="s">
        <v>115</v>
      </c>
      <c r="D28" s="8" t="n">
        <v>30</v>
      </c>
      <c r="E28" s="8" t="n">
        <v>6</v>
      </c>
      <c r="F28" s="8" t="s">
        <v>65</v>
      </c>
    </row>
    <row r="29" customFormat="false" ht="15" hidden="false" customHeight="false" outlineLevel="0" collapsed="false">
      <c r="A29" s="8" t="s">
        <v>116</v>
      </c>
      <c r="B29" s="8" t="s">
        <v>117</v>
      </c>
      <c r="C29" s="8" t="s">
        <v>73</v>
      </c>
      <c r="D29" s="8" t="n">
        <v>26</v>
      </c>
      <c r="E29" s="8" t="n">
        <v>5</v>
      </c>
      <c r="F29" s="8" t="s">
        <v>65</v>
      </c>
    </row>
    <row r="30" customFormat="false" ht="15" hidden="false" customHeight="false" outlineLevel="0" collapsed="false">
      <c r="A30" s="8" t="s">
        <v>118</v>
      </c>
      <c r="B30" s="8" t="s">
        <v>119</v>
      </c>
      <c r="C30" s="8" t="s">
        <v>120</v>
      </c>
      <c r="D30" s="8" t="n">
        <v>30</v>
      </c>
      <c r="E30" s="8" t="n">
        <v>6</v>
      </c>
      <c r="F30" s="8" t="s">
        <v>65</v>
      </c>
    </row>
    <row r="32" customFormat="false" ht="15" hidden="false" customHeight="false" outlineLevel="0" collapsed="false">
      <c r="A32" s="11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6" t="s">
        <v>122</v>
      </c>
      <c r="B1" s="6" t="s">
        <v>123</v>
      </c>
      <c r="C1" s="6" t="s">
        <v>124</v>
      </c>
      <c r="D1" s="6" t="s">
        <v>125</v>
      </c>
      <c r="E1" s="6" t="s">
        <v>52</v>
      </c>
      <c r="F1" s="6" t="s">
        <v>126</v>
      </c>
      <c r="G1" s="6" t="s">
        <v>127</v>
      </c>
      <c r="H1" s="6" t="s">
        <v>128</v>
      </c>
      <c r="I1" s="6" t="s">
        <v>129</v>
      </c>
      <c r="J1" s="6" t="s">
        <v>130</v>
      </c>
      <c r="K1" s="6" t="s">
        <v>54</v>
      </c>
      <c r="L1" s="6" t="s">
        <v>56</v>
      </c>
      <c r="M1" s="6" t="s">
        <v>57</v>
      </c>
    </row>
    <row r="2" customFormat="false" ht="15" hidden="false" customHeight="false" outlineLevel="0" collapsed="false">
      <c r="A2" s="12" t="s">
        <v>131</v>
      </c>
      <c r="B2" s="12" t="s">
        <v>132</v>
      </c>
      <c r="C2" s="12" t="n">
        <v>1</v>
      </c>
      <c r="D2" s="12" t="s">
        <v>133</v>
      </c>
      <c r="E2" s="12" t="s">
        <v>59</v>
      </c>
      <c r="F2" s="12" t="s">
        <v>134</v>
      </c>
      <c r="G2" s="12" t="n">
        <v>20</v>
      </c>
      <c r="H2" s="12" t="s">
        <v>135</v>
      </c>
      <c r="I2" s="12" t="s">
        <v>136</v>
      </c>
      <c r="J2" s="12" t="s">
        <v>137</v>
      </c>
      <c r="K2" s="12" t="s">
        <v>61</v>
      </c>
      <c r="L2" s="12" t="n">
        <v>6</v>
      </c>
      <c r="M2" s="12" t="n">
        <v>30</v>
      </c>
    </row>
    <row r="3" customFormat="false" ht="15" hidden="false" customHeight="false" outlineLevel="0" collapsed="false">
      <c r="A3" s="12" t="s">
        <v>138</v>
      </c>
      <c r="B3" s="12" t="s">
        <v>132</v>
      </c>
      <c r="C3" s="12" t="n">
        <v>1</v>
      </c>
      <c r="D3" s="12" t="s">
        <v>139</v>
      </c>
      <c r="E3" s="12" t="s">
        <v>59</v>
      </c>
      <c r="F3" s="12" t="s">
        <v>134</v>
      </c>
      <c r="G3" s="12" t="n">
        <v>22</v>
      </c>
      <c r="H3" s="12" t="s">
        <v>140</v>
      </c>
      <c r="I3" s="12" t="s">
        <v>141</v>
      </c>
      <c r="J3" s="12" t="s">
        <v>142</v>
      </c>
      <c r="K3" s="12" t="s">
        <v>61</v>
      </c>
      <c r="L3" s="12" t="n">
        <v>6</v>
      </c>
      <c r="M3" s="12" t="n">
        <v>30</v>
      </c>
    </row>
    <row r="4" customFormat="false" ht="15" hidden="false" customHeight="false" outlineLevel="0" collapsed="false">
      <c r="A4" s="12" t="s">
        <v>143</v>
      </c>
      <c r="B4" s="12" t="s">
        <v>144</v>
      </c>
      <c r="C4" s="12" t="n">
        <v>2</v>
      </c>
      <c r="D4" s="12" t="s">
        <v>133</v>
      </c>
      <c r="E4" s="12" t="s">
        <v>59</v>
      </c>
      <c r="F4" s="12" t="s">
        <v>134</v>
      </c>
      <c r="G4" s="12" t="n">
        <v>24</v>
      </c>
      <c r="H4" s="12" t="s">
        <v>145</v>
      </c>
      <c r="I4" s="12" t="s">
        <v>146</v>
      </c>
      <c r="J4" s="12" t="s">
        <v>147</v>
      </c>
      <c r="K4" s="12" t="s">
        <v>61</v>
      </c>
      <c r="L4" s="12" t="n">
        <v>6</v>
      </c>
      <c r="M4" s="12" t="n">
        <v>30</v>
      </c>
    </row>
    <row r="5" customFormat="false" ht="15" hidden="false" customHeight="false" outlineLevel="0" collapsed="false">
      <c r="A5" s="12" t="s">
        <v>148</v>
      </c>
      <c r="B5" s="12" t="s">
        <v>144</v>
      </c>
      <c r="C5" s="12" t="n">
        <v>2</v>
      </c>
      <c r="D5" s="12" t="s">
        <v>139</v>
      </c>
      <c r="E5" s="12" t="s">
        <v>59</v>
      </c>
      <c r="F5" s="12" t="s">
        <v>134</v>
      </c>
      <c r="G5" s="12" t="n">
        <v>24</v>
      </c>
      <c r="H5" s="12" t="s">
        <v>149</v>
      </c>
      <c r="I5" s="12" t="s">
        <v>150</v>
      </c>
      <c r="J5" s="12" t="s">
        <v>151</v>
      </c>
      <c r="K5" s="12" t="s">
        <v>61</v>
      </c>
      <c r="L5" s="12" t="n">
        <v>6</v>
      </c>
      <c r="M5" s="12" t="n">
        <v>30</v>
      </c>
    </row>
    <row r="6" customFormat="false" ht="15" hidden="false" customHeight="false" outlineLevel="0" collapsed="false">
      <c r="A6" s="12" t="s">
        <v>152</v>
      </c>
      <c r="B6" s="12" t="s">
        <v>144</v>
      </c>
      <c r="C6" s="12" t="n">
        <v>2</v>
      </c>
      <c r="D6" s="12" t="s">
        <v>153</v>
      </c>
      <c r="E6" s="12" t="s">
        <v>59</v>
      </c>
      <c r="F6" s="12" t="s">
        <v>134</v>
      </c>
      <c r="G6" s="12" t="n">
        <v>25</v>
      </c>
      <c r="H6" s="12" t="s">
        <v>154</v>
      </c>
      <c r="I6" s="12" t="s">
        <v>155</v>
      </c>
      <c r="J6" s="12" t="s">
        <v>156</v>
      </c>
      <c r="K6" s="12" t="s">
        <v>61</v>
      </c>
      <c r="L6" s="12" t="n">
        <v>6</v>
      </c>
      <c r="M6" s="12" t="n">
        <v>30</v>
      </c>
    </row>
    <row r="7" customFormat="false" ht="15" hidden="false" customHeight="false" outlineLevel="0" collapsed="false">
      <c r="A7" s="12" t="s">
        <v>157</v>
      </c>
      <c r="B7" s="12" t="s">
        <v>158</v>
      </c>
      <c r="C7" s="12" t="n">
        <v>3</v>
      </c>
      <c r="D7" s="12" t="s">
        <v>133</v>
      </c>
      <c r="E7" s="12" t="s">
        <v>59</v>
      </c>
      <c r="F7" s="12" t="s">
        <v>134</v>
      </c>
      <c r="G7" s="12" t="n">
        <v>26</v>
      </c>
      <c r="H7" s="12" t="s">
        <v>159</v>
      </c>
      <c r="I7" s="12" t="s">
        <v>160</v>
      </c>
      <c r="J7" s="12" t="s">
        <v>161</v>
      </c>
      <c r="K7" s="12" t="s">
        <v>61</v>
      </c>
      <c r="L7" s="12" t="n">
        <v>6</v>
      </c>
      <c r="M7" s="12" t="n">
        <v>30</v>
      </c>
    </row>
    <row r="8" customFormat="false" ht="15" hidden="false" customHeight="false" outlineLevel="0" collapsed="false">
      <c r="A8" s="12" t="s">
        <v>162</v>
      </c>
      <c r="B8" s="12" t="s">
        <v>158</v>
      </c>
      <c r="C8" s="12" t="n">
        <v>3</v>
      </c>
      <c r="D8" s="12" t="s">
        <v>139</v>
      </c>
      <c r="E8" s="12" t="s">
        <v>59</v>
      </c>
      <c r="F8" s="12" t="s">
        <v>134</v>
      </c>
      <c r="G8" s="12" t="n">
        <v>20</v>
      </c>
      <c r="H8" s="12" t="s">
        <v>163</v>
      </c>
      <c r="I8" s="12" t="s">
        <v>164</v>
      </c>
      <c r="J8" s="12" t="s">
        <v>165</v>
      </c>
      <c r="K8" s="12" t="s">
        <v>61</v>
      </c>
      <c r="L8" s="12" t="n">
        <v>6</v>
      </c>
      <c r="M8" s="12" t="n">
        <v>30</v>
      </c>
    </row>
    <row r="9" customFormat="false" ht="15" hidden="false" customHeight="false" outlineLevel="0" collapsed="false">
      <c r="A9" s="12" t="s">
        <v>166</v>
      </c>
      <c r="B9" s="12" t="s">
        <v>167</v>
      </c>
      <c r="C9" s="12" t="n">
        <v>4</v>
      </c>
      <c r="D9" s="12" t="s">
        <v>133</v>
      </c>
      <c r="E9" s="12" t="s">
        <v>63</v>
      </c>
      <c r="F9" s="12" t="s">
        <v>134</v>
      </c>
      <c r="G9" s="12" t="n">
        <v>33</v>
      </c>
      <c r="H9" s="12" t="s">
        <v>168</v>
      </c>
      <c r="I9" s="12" t="s">
        <v>169</v>
      </c>
      <c r="J9" s="12" t="s">
        <v>170</v>
      </c>
      <c r="K9" s="12" t="s">
        <v>65</v>
      </c>
      <c r="L9" s="12" t="n">
        <v>7</v>
      </c>
      <c r="M9" s="12" t="n">
        <v>42</v>
      </c>
    </row>
    <row r="10" customFormat="false" ht="15" hidden="false" customHeight="false" outlineLevel="0" collapsed="false">
      <c r="A10" s="12" t="s">
        <v>171</v>
      </c>
      <c r="B10" s="12" t="s">
        <v>167</v>
      </c>
      <c r="C10" s="12" t="n">
        <v>4</v>
      </c>
      <c r="D10" s="12" t="s">
        <v>139</v>
      </c>
      <c r="E10" s="12" t="s">
        <v>63</v>
      </c>
      <c r="F10" s="12" t="s">
        <v>134</v>
      </c>
      <c r="G10" s="12" t="n">
        <v>38</v>
      </c>
      <c r="H10" s="12" t="s">
        <v>172</v>
      </c>
      <c r="I10" s="12" t="s">
        <v>173</v>
      </c>
      <c r="J10" s="12" t="s">
        <v>174</v>
      </c>
      <c r="K10" s="12" t="s">
        <v>65</v>
      </c>
      <c r="L10" s="12" t="n">
        <v>7</v>
      </c>
      <c r="M10" s="12" t="n">
        <v>42</v>
      </c>
    </row>
    <row r="11" customFormat="false" ht="15" hidden="false" customHeight="false" outlineLevel="0" collapsed="false">
      <c r="A11" s="12" t="s">
        <v>175</v>
      </c>
      <c r="B11" s="12" t="s">
        <v>167</v>
      </c>
      <c r="C11" s="12" t="n">
        <v>4</v>
      </c>
      <c r="D11" s="12" t="s">
        <v>153</v>
      </c>
      <c r="E11" s="12" t="s">
        <v>63</v>
      </c>
      <c r="F11" s="12" t="s">
        <v>134</v>
      </c>
      <c r="G11" s="12" t="n">
        <v>36</v>
      </c>
      <c r="H11" s="12" t="s">
        <v>176</v>
      </c>
      <c r="I11" s="12" t="s">
        <v>177</v>
      </c>
      <c r="J11" s="12" t="s">
        <v>178</v>
      </c>
      <c r="K11" s="12" t="s">
        <v>65</v>
      </c>
      <c r="L11" s="12" t="n">
        <v>7</v>
      </c>
      <c r="M11" s="12" t="n">
        <v>42</v>
      </c>
    </row>
    <row r="12" customFormat="false" ht="15" hidden="false" customHeight="false" outlineLevel="0" collapsed="false">
      <c r="A12" s="12" t="s">
        <v>179</v>
      </c>
      <c r="B12" s="12" t="s">
        <v>167</v>
      </c>
      <c r="C12" s="12" t="n">
        <v>4</v>
      </c>
      <c r="D12" s="12" t="s">
        <v>180</v>
      </c>
      <c r="E12" s="12" t="s">
        <v>63</v>
      </c>
      <c r="F12" s="12" t="s">
        <v>134</v>
      </c>
      <c r="G12" s="12" t="n">
        <v>38</v>
      </c>
      <c r="H12" s="12" t="s">
        <v>181</v>
      </c>
      <c r="I12" s="12" t="s">
        <v>182</v>
      </c>
      <c r="J12" s="12" t="s">
        <v>183</v>
      </c>
      <c r="K12" s="12" t="s">
        <v>65</v>
      </c>
      <c r="L12" s="12" t="n">
        <v>7</v>
      </c>
      <c r="M12" s="12" t="n">
        <v>42</v>
      </c>
    </row>
    <row r="13" customFormat="false" ht="15" hidden="false" customHeight="false" outlineLevel="0" collapsed="false">
      <c r="A13" s="12" t="s">
        <v>184</v>
      </c>
      <c r="B13" s="12" t="s">
        <v>185</v>
      </c>
      <c r="C13" s="12" t="n">
        <v>5</v>
      </c>
      <c r="D13" s="12" t="s">
        <v>133</v>
      </c>
      <c r="E13" s="12" t="s">
        <v>63</v>
      </c>
      <c r="F13" s="12" t="s">
        <v>134</v>
      </c>
      <c r="G13" s="12" t="n">
        <v>37</v>
      </c>
      <c r="H13" s="12" t="s">
        <v>186</v>
      </c>
      <c r="I13" s="12" t="s">
        <v>187</v>
      </c>
      <c r="J13" s="12" t="s">
        <v>188</v>
      </c>
      <c r="K13" s="12" t="s">
        <v>65</v>
      </c>
      <c r="L13" s="12" t="n">
        <v>7</v>
      </c>
      <c r="M13" s="12" t="n">
        <v>42</v>
      </c>
    </row>
    <row r="14" customFormat="false" ht="15" hidden="false" customHeight="false" outlineLevel="0" collapsed="false">
      <c r="A14" s="12" t="s">
        <v>189</v>
      </c>
      <c r="B14" s="12" t="s">
        <v>185</v>
      </c>
      <c r="C14" s="12" t="n">
        <v>5</v>
      </c>
      <c r="D14" s="12" t="s">
        <v>139</v>
      </c>
      <c r="E14" s="12" t="s">
        <v>63</v>
      </c>
      <c r="F14" s="12" t="s">
        <v>134</v>
      </c>
      <c r="G14" s="12" t="n">
        <v>37</v>
      </c>
      <c r="H14" s="12" t="s">
        <v>190</v>
      </c>
      <c r="I14" s="12" t="s">
        <v>191</v>
      </c>
      <c r="J14" s="12" t="s">
        <v>192</v>
      </c>
      <c r="K14" s="12" t="s">
        <v>65</v>
      </c>
      <c r="L14" s="12" t="n">
        <v>7</v>
      </c>
      <c r="M14" s="12" t="n">
        <v>42</v>
      </c>
    </row>
    <row r="15" customFormat="false" ht="15" hidden="false" customHeight="false" outlineLevel="0" collapsed="false">
      <c r="A15" s="12" t="s">
        <v>193</v>
      </c>
      <c r="B15" s="12" t="s">
        <v>185</v>
      </c>
      <c r="C15" s="12" t="n">
        <v>5</v>
      </c>
      <c r="D15" s="12" t="s">
        <v>153</v>
      </c>
      <c r="E15" s="12" t="s">
        <v>63</v>
      </c>
      <c r="F15" s="12" t="s">
        <v>134</v>
      </c>
      <c r="G15" s="12" t="n">
        <v>33</v>
      </c>
      <c r="H15" s="12" t="s">
        <v>194</v>
      </c>
      <c r="I15" s="12" t="s">
        <v>195</v>
      </c>
      <c r="J15" s="12" t="s">
        <v>196</v>
      </c>
      <c r="K15" s="12" t="s">
        <v>65</v>
      </c>
      <c r="L15" s="12" t="n">
        <v>7</v>
      </c>
      <c r="M15" s="12" t="n">
        <v>42</v>
      </c>
    </row>
    <row r="16" customFormat="false" ht="15" hidden="false" customHeight="false" outlineLevel="0" collapsed="false">
      <c r="A16" s="12" t="s">
        <v>197</v>
      </c>
      <c r="B16" s="12" t="s">
        <v>198</v>
      </c>
      <c r="C16" s="12" t="n">
        <v>6</v>
      </c>
      <c r="D16" s="12" t="s">
        <v>133</v>
      </c>
      <c r="E16" s="12" t="s">
        <v>63</v>
      </c>
      <c r="F16" s="12" t="s">
        <v>134</v>
      </c>
      <c r="G16" s="12" t="n">
        <v>30</v>
      </c>
      <c r="H16" s="12" t="s">
        <v>199</v>
      </c>
      <c r="I16" s="12" t="s">
        <v>200</v>
      </c>
      <c r="J16" s="12" t="s">
        <v>201</v>
      </c>
      <c r="K16" s="12" t="s">
        <v>65</v>
      </c>
      <c r="L16" s="12" t="n">
        <v>7</v>
      </c>
      <c r="M16" s="12" t="n">
        <v>42</v>
      </c>
    </row>
    <row r="17" customFormat="false" ht="15" hidden="false" customHeight="false" outlineLevel="0" collapsed="false">
      <c r="A17" s="12" t="s">
        <v>202</v>
      </c>
      <c r="B17" s="12" t="s">
        <v>198</v>
      </c>
      <c r="C17" s="12" t="n">
        <v>6</v>
      </c>
      <c r="D17" s="12" t="s">
        <v>139</v>
      </c>
      <c r="E17" s="12" t="s">
        <v>63</v>
      </c>
      <c r="F17" s="12" t="s">
        <v>134</v>
      </c>
      <c r="G17" s="12" t="n">
        <v>31</v>
      </c>
      <c r="H17" s="12" t="s">
        <v>203</v>
      </c>
      <c r="I17" s="12" t="s">
        <v>204</v>
      </c>
      <c r="J17" s="12" t="s">
        <v>205</v>
      </c>
      <c r="K17" s="12" t="s">
        <v>65</v>
      </c>
      <c r="L17" s="12" t="n">
        <v>7</v>
      </c>
      <c r="M17" s="12" t="n">
        <v>42</v>
      </c>
    </row>
    <row r="18" customFormat="false" ht="15" hidden="false" customHeight="false" outlineLevel="0" collapsed="false">
      <c r="A18" s="12" t="s">
        <v>206</v>
      </c>
      <c r="B18" s="12" t="s">
        <v>198</v>
      </c>
      <c r="C18" s="12" t="n">
        <v>6</v>
      </c>
      <c r="D18" s="12" t="s">
        <v>153</v>
      </c>
      <c r="E18" s="12" t="s">
        <v>63</v>
      </c>
      <c r="F18" s="12" t="s">
        <v>134</v>
      </c>
      <c r="G18" s="12" t="n">
        <v>31</v>
      </c>
      <c r="H18" s="12" t="s">
        <v>207</v>
      </c>
      <c r="I18" s="12" t="s">
        <v>208</v>
      </c>
      <c r="J18" s="12" t="s">
        <v>209</v>
      </c>
      <c r="K18" s="12" t="s">
        <v>65</v>
      </c>
      <c r="L18" s="12" t="n">
        <v>7</v>
      </c>
      <c r="M18" s="12" t="n">
        <v>42</v>
      </c>
    </row>
    <row r="19" customFormat="false" ht="15" hidden="false" customHeight="false" outlineLevel="0" collapsed="false">
      <c r="A19" s="12" t="s">
        <v>210</v>
      </c>
      <c r="B19" s="12" t="s">
        <v>198</v>
      </c>
      <c r="C19" s="12" t="n">
        <v>6</v>
      </c>
      <c r="D19" s="12" t="s">
        <v>180</v>
      </c>
      <c r="E19" s="12" t="s">
        <v>63</v>
      </c>
      <c r="F19" s="12" t="s">
        <v>134</v>
      </c>
      <c r="G19" s="12" t="n">
        <v>34</v>
      </c>
      <c r="H19" s="12" t="s">
        <v>211</v>
      </c>
      <c r="I19" s="12" t="s">
        <v>212</v>
      </c>
      <c r="J19" s="12" t="s">
        <v>213</v>
      </c>
      <c r="K19" s="12" t="s">
        <v>65</v>
      </c>
      <c r="L19" s="12" t="n">
        <v>7</v>
      </c>
      <c r="M19" s="12" t="n">
        <v>42</v>
      </c>
    </row>
    <row r="20" customFormat="false" ht="15" hidden="false" customHeight="false" outlineLevel="0" collapsed="false">
      <c r="A20" s="12" t="s">
        <v>214</v>
      </c>
      <c r="B20" s="12" t="s">
        <v>215</v>
      </c>
      <c r="C20" s="12" t="n">
        <v>7</v>
      </c>
      <c r="D20" s="12" t="s">
        <v>133</v>
      </c>
      <c r="E20" s="12" t="s">
        <v>63</v>
      </c>
      <c r="F20" s="12" t="s">
        <v>134</v>
      </c>
      <c r="G20" s="12" t="n">
        <v>31</v>
      </c>
      <c r="H20" s="12" t="s">
        <v>216</v>
      </c>
      <c r="I20" s="12" t="s">
        <v>217</v>
      </c>
      <c r="J20" s="12" t="s">
        <v>218</v>
      </c>
      <c r="K20" s="12" t="s">
        <v>65</v>
      </c>
      <c r="L20" s="12" t="n">
        <v>7</v>
      </c>
      <c r="M20" s="12" t="n">
        <v>42</v>
      </c>
    </row>
    <row r="21" customFormat="false" ht="15" hidden="false" customHeight="false" outlineLevel="0" collapsed="false">
      <c r="A21" s="12" t="s">
        <v>219</v>
      </c>
      <c r="B21" s="12" t="s">
        <v>215</v>
      </c>
      <c r="C21" s="12" t="n">
        <v>7</v>
      </c>
      <c r="D21" s="12" t="s">
        <v>139</v>
      </c>
      <c r="E21" s="12" t="s">
        <v>63</v>
      </c>
      <c r="F21" s="12" t="s">
        <v>134</v>
      </c>
      <c r="G21" s="12" t="n">
        <v>37</v>
      </c>
      <c r="H21" s="12" t="s">
        <v>220</v>
      </c>
      <c r="I21" s="12" t="s">
        <v>221</v>
      </c>
      <c r="J21" s="12" t="s">
        <v>222</v>
      </c>
      <c r="K21" s="12" t="s">
        <v>65</v>
      </c>
      <c r="L21" s="12" t="n">
        <v>7</v>
      </c>
      <c r="M21" s="12" t="n">
        <v>42</v>
      </c>
    </row>
    <row r="22" customFormat="false" ht="15" hidden="false" customHeight="false" outlineLevel="0" collapsed="false">
      <c r="A22" s="12" t="s">
        <v>223</v>
      </c>
      <c r="B22" s="12" t="s">
        <v>215</v>
      </c>
      <c r="C22" s="12" t="n">
        <v>7</v>
      </c>
      <c r="D22" s="12" t="s">
        <v>153</v>
      </c>
      <c r="E22" s="12" t="s">
        <v>63</v>
      </c>
      <c r="F22" s="12" t="s">
        <v>134</v>
      </c>
      <c r="G22" s="12" t="n">
        <v>30</v>
      </c>
      <c r="H22" s="12" t="s">
        <v>224</v>
      </c>
      <c r="I22" s="12" t="s">
        <v>225</v>
      </c>
      <c r="J22" s="12" t="s">
        <v>226</v>
      </c>
      <c r="K22" s="12" t="s">
        <v>65</v>
      </c>
      <c r="L22" s="12" t="n">
        <v>7</v>
      </c>
      <c r="M22" s="12" t="n">
        <v>42</v>
      </c>
    </row>
    <row r="23" customFormat="false" ht="15" hidden="false" customHeight="false" outlineLevel="0" collapsed="false">
      <c r="A23" s="12" t="s">
        <v>227</v>
      </c>
      <c r="B23" s="12" t="s">
        <v>228</v>
      </c>
      <c r="C23" s="12" t="n">
        <v>8</v>
      </c>
      <c r="D23" s="12" t="s">
        <v>133</v>
      </c>
      <c r="E23" s="12" t="s">
        <v>63</v>
      </c>
      <c r="F23" s="12" t="s">
        <v>134</v>
      </c>
      <c r="G23" s="12" t="n">
        <v>37</v>
      </c>
      <c r="H23" s="12" t="s">
        <v>229</v>
      </c>
      <c r="I23" s="12" t="s">
        <v>230</v>
      </c>
      <c r="J23" s="12" t="s">
        <v>231</v>
      </c>
      <c r="K23" s="12" t="s">
        <v>65</v>
      </c>
      <c r="L23" s="12" t="n">
        <v>7</v>
      </c>
      <c r="M23" s="12" t="n">
        <v>42</v>
      </c>
    </row>
    <row r="24" customFormat="false" ht="15" hidden="false" customHeight="false" outlineLevel="0" collapsed="false">
      <c r="A24" s="12" t="s">
        <v>232</v>
      </c>
      <c r="B24" s="12" t="s">
        <v>228</v>
      </c>
      <c r="C24" s="12" t="n">
        <v>8</v>
      </c>
      <c r="D24" s="12" t="s">
        <v>139</v>
      </c>
      <c r="E24" s="12" t="s">
        <v>63</v>
      </c>
      <c r="F24" s="12" t="s">
        <v>134</v>
      </c>
      <c r="G24" s="12" t="n">
        <v>35</v>
      </c>
      <c r="H24" s="12" t="s">
        <v>233</v>
      </c>
      <c r="I24" s="12" t="s">
        <v>234</v>
      </c>
      <c r="J24" s="12" t="s">
        <v>235</v>
      </c>
      <c r="K24" s="12" t="s">
        <v>65</v>
      </c>
      <c r="L24" s="12" t="n">
        <v>7</v>
      </c>
      <c r="M24" s="12" t="n">
        <v>42</v>
      </c>
    </row>
    <row r="25" customFormat="false" ht="15" hidden="false" customHeight="false" outlineLevel="0" collapsed="false">
      <c r="A25" s="12" t="s">
        <v>236</v>
      </c>
      <c r="B25" s="12" t="s">
        <v>228</v>
      </c>
      <c r="C25" s="12" t="n">
        <v>8</v>
      </c>
      <c r="D25" s="12" t="s">
        <v>153</v>
      </c>
      <c r="E25" s="12" t="s">
        <v>63</v>
      </c>
      <c r="F25" s="12" t="s">
        <v>134</v>
      </c>
      <c r="G25" s="12" t="n">
        <v>33</v>
      </c>
      <c r="H25" s="12" t="s">
        <v>237</v>
      </c>
      <c r="I25" s="12" t="s">
        <v>238</v>
      </c>
      <c r="J25" s="12" t="s">
        <v>239</v>
      </c>
      <c r="K25" s="12" t="s">
        <v>65</v>
      </c>
      <c r="L25" s="12" t="n">
        <v>7</v>
      </c>
      <c r="M25" s="12" t="n">
        <v>42</v>
      </c>
    </row>
    <row r="26" customFormat="false" ht="15" hidden="false" customHeight="false" outlineLevel="0" collapsed="false">
      <c r="A26" s="12" t="s">
        <v>240</v>
      </c>
      <c r="B26" s="12" t="s">
        <v>228</v>
      </c>
      <c r="C26" s="12" t="n">
        <v>8</v>
      </c>
      <c r="D26" s="12" t="s">
        <v>180</v>
      </c>
      <c r="E26" s="12" t="s">
        <v>63</v>
      </c>
      <c r="F26" s="12" t="s">
        <v>134</v>
      </c>
      <c r="G26" s="12" t="n">
        <v>36</v>
      </c>
      <c r="H26" s="12" t="s">
        <v>241</v>
      </c>
      <c r="I26" s="12" t="s">
        <v>242</v>
      </c>
      <c r="J26" s="12" t="s">
        <v>243</v>
      </c>
      <c r="K26" s="12" t="s">
        <v>65</v>
      </c>
      <c r="L26" s="12" t="n">
        <v>7</v>
      </c>
      <c r="M26" s="12" t="n">
        <v>42</v>
      </c>
    </row>
    <row r="27" customFormat="false" ht="15" hidden="false" customHeight="false" outlineLevel="0" collapsed="false">
      <c r="A27" s="12" t="s">
        <v>244</v>
      </c>
      <c r="B27" s="12" t="s">
        <v>228</v>
      </c>
      <c r="C27" s="12" t="n">
        <v>8</v>
      </c>
      <c r="D27" s="12" t="s">
        <v>245</v>
      </c>
      <c r="E27" s="12" t="s">
        <v>63</v>
      </c>
      <c r="F27" s="12" t="s">
        <v>134</v>
      </c>
      <c r="G27" s="12" t="n">
        <v>34</v>
      </c>
      <c r="H27" s="12" t="s">
        <v>246</v>
      </c>
      <c r="I27" s="12" t="s">
        <v>247</v>
      </c>
      <c r="J27" s="12" t="s">
        <v>248</v>
      </c>
      <c r="K27" s="12" t="s">
        <v>65</v>
      </c>
      <c r="L27" s="12" t="n">
        <v>7</v>
      </c>
      <c r="M27" s="12" t="n">
        <v>42</v>
      </c>
    </row>
    <row r="28" customFormat="false" ht="15" hidden="false" customHeight="false" outlineLevel="0" collapsed="false">
      <c r="A28" s="12" t="s">
        <v>249</v>
      </c>
      <c r="B28" s="12" t="s">
        <v>250</v>
      </c>
      <c r="C28" s="12" t="n">
        <v>9</v>
      </c>
      <c r="D28" s="12" t="s">
        <v>133</v>
      </c>
      <c r="E28" s="12" t="s">
        <v>67</v>
      </c>
      <c r="F28" s="12" t="s">
        <v>134</v>
      </c>
      <c r="G28" s="12" t="n">
        <v>36</v>
      </c>
      <c r="H28" s="12" t="s">
        <v>251</v>
      </c>
      <c r="I28" s="12" t="s">
        <v>252</v>
      </c>
      <c r="J28" s="12" t="s">
        <v>253</v>
      </c>
      <c r="K28" s="12" t="s">
        <v>65</v>
      </c>
      <c r="L28" s="12" t="n">
        <v>8</v>
      </c>
      <c r="M28" s="12" t="n">
        <v>48</v>
      </c>
    </row>
    <row r="29" customFormat="false" ht="15" hidden="false" customHeight="false" outlineLevel="0" collapsed="false">
      <c r="A29" s="12" t="s">
        <v>254</v>
      </c>
      <c r="B29" s="12" t="s">
        <v>250</v>
      </c>
      <c r="C29" s="12" t="n">
        <v>9</v>
      </c>
      <c r="D29" s="12" t="s">
        <v>139</v>
      </c>
      <c r="E29" s="12" t="s">
        <v>67</v>
      </c>
      <c r="F29" s="12" t="s">
        <v>134</v>
      </c>
      <c r="G29" s="12" t="n">
        <v>36</v>
      </c>
      <c r="H29" s="12" t="s">
        <v>255</v>
      </c>
      <c r="I29" s="12" t="s">
        <v>256</v>
      </c>
      <c r="J29" s="12" t="s">
        <v>257</v>
      </c>
      <c r="K29" s="12" t="s">
        <v>65</v>
      </c>
      <c r="L29" s="12" t="n">
        <v>8</v>
      </c>
      <c r="M29" s="12" t="n">
        <v>48</v>
      </c>
    </row>
    <row r="30" customFormat="false" ht="15" hidden="false" customHeight="false" outlineLevel="0" collapsed="false">
      <c r="A30" s="12" t="s">
        <v>258</v>
      </c>
      <c r="B30" s="12" t="s">
        <v>250</v>
      </c>
      <c r="C30" s="12" t="n">
        <v>9</v>
      </c>
      <c r="D30" s="12" t="s">
        <v>153</v>
      </c>
      <c r="E30" s="12" t="s">
        <v>67</v>
      </c>
      <c r="F30" s="12" t="s">
        <v>134</v>
      </c>
      <c r="G30" s="12" t="n">
        <v>40</v>
      </c>
      <c r="H30" s="12" t="s">
        <v>259</v>
      </c>
      <c r="I30" s="12" t="s">
        <v>260</v>
      </c>
      <c r="J30" s="12" t="s">
        <v>261</v>
      </c>
      <c r="K30" s="12" t="s">
        <v>65</v>
      </c>
      <c r="L30" s="12" t="n">
        <v>8</v>
      </c>
      <c r="M30" s="12" t="n">
        <v>48</v>
      </c>
    </row>
    <row r="31" customFormat="false" ht="15" hidden="false" customHeight="false" outlineLevel="0" collapsed="false">
      <c r="A31" s="12" t="s">
        <v>262</v>
      </c>
      <c r="B31" s="12" t="s">
        <v>250</v>
      </c>
      <c r="C31" s="12" t="n">
        <v>9</v>
      </c>
      <c r="D31" s="12" t="s">
        <v>180</v>
      </c>
      <c r="E31" s="12" t="s">
        <v>67</v>
      </c>
      <c r="F31" s="12" t="s">
        <v>134</v>
      </c>
      <c r="G31" s="12" t="n">
        <v>37</v>
      </c>
      <c r="H31" s="12" t="s">
        <v>263</v>
      </c>
      <c r="I31" s="12" t="s">
        <v>264</v>
      </c>
      <c r="J31" s="12" t="s">
        <v>265</v>
      </c>
      <c r="K31" s="12" t="s">
        <v>65</v>
      </c>
      <c r="L31" s="12" t="n">
        <v>8</v>
      </c>
      <c r="M31" s="12" t="n">
        <v>48</v>
      </c>
    </row>
    <row r="32" customFormat="false" ht="15" hidden="false" customHeight="false" outlineLevel="0" collapsed="false">
      <c r="A32" s="12" t="s">
        <v>266</v>
      </c>
      <c r="B32" s="12" t="s">
        <v>267</v>
      </c>
      <c r="C32" s="12" t="n">
        <v>10</v>
      </c>
      <c r="D32" s="12" t="s">
        <v>133</v>
      </c>
      <c r="E32" s="12" t="s">
        <v>67</v>
      </c>
      <c r="F32" s="12" t="s">
        <v>134</v>
      </c>
      <c r="G32" s="12" t="n">
        <v>39</v>
      </c>
      <c r="H32" s="12" t="s">
        <v>268</v>
      </c>
      <c r="I32" s="12" t="s">
        <v>269</v>
      </c>
      <c r="J32" s="12" t="s">
        <v>270</v>
      </c>
      <c r="K32" s="12" t="s">
        <v>65</v>
      </c>
      <c r="L32" s="12" t="n">
        <v>8</v>
      </c>
      <c r="M32" s="12" t="n">
        <v>48</v>
      </c>
    </row>
    <row r="33" customFormat="false" ht="15" hidden="false" customHeight="false" outlineLevel="0" collapsed="false">
      <c r="A33" s="12" t="s">
        <v>271</v>
      </c>
      <c r="B33" s="12" t="s">
        <v>267</v>
      </c>
      <c r="C33" s="12" t="n">
        <v>10</v>
      </c>
      <c r="D33" s="12" t="s">
        <v>139</v>
      </c>
      <c r="E33" s="12" t="s">
        <v>67</v>
      </c>
      <c r="F33" s="12" t="s">
        <v>134</v>
      </c>
      <c r="G33" s="12" t="n">
        <v>38</v>
      </c>
      <c r="H33" s="12" t="s">
        <v>272</v>
      </c>
      <c r="I33" s="12" t="s">
        <v>273</v>
      </c>
      <c r="J33" s="12" t="s">
        <v>178</v>
      </c>
      <c r="K33" s="12" t="s">
        <v>65</v>
      </c>
      <c r="L33" s="12" t="n">
        <v>8</v>
      </c>
      <c r="M33" s="12" t="n">
        <v>48</v>
      </c>
    </row>
    <row r="34" customFormat="false" ht="15" hidden="false" customHeight="false" outlineLevel="0" collapsed="false">
      <c r="A34" s="12" t="s">
        <v>274</v>
      </c>
      <c r="B34" s="12" t="s">
        <v>267</v>
      </c>
      <c r="C34" s="12" t="n">
        <v>10</v>
      </c>
      <c r="D34" s="12" t="s">
        <v>153</v>
      </c>
      <c r="E34" s="12" t="s">
        <v>67</v>
      </c>
      <c r="F34" s="12" t="s">
        <v>134</v>
      </c>
      <c r="G34" s="12" t="n">
        <v>39</v>
      </c>
      <c r="H34" s="12" t="s">
        <v>275</v>
      </c>
      <c r="I34" s="12" t="s">
        <v>276</v>
      </c>
      <c r="J34" s="12" t="s">
        <v>277</v>
      </c>
      <c r="K34" s="12" t="s">
        <v>65</v>
      </c>
      <c r="L34" s="12" t="n">
        <v>8</v>
      </c>
      <c r="M34" s="12" t="n">
        <v>48</v>
      </c>
    </row>
    <row r="35" customFormat="false" ht="15" hidden="false" customHeight="false" outlineLevel="0" collapsed="false">
      <c r="A35" s="12" t="s">
        <v>278</v>
      </c>
      <c r="B35" s="12" t="s">
        <v>267</v>
      </c>
      <c r="C35" s="12" t="n">
        <v>10</v>
      </c>
      <c r="D35" s="12" t="s">
        <v>180</v>
      </c>
      <c r="E35" s="12" t="s">
        <v>67</v>
      </c>
      <c r="F35" s="12" t="s">
        <v>134</v>
      </c>
      <c r="G35" s="12" t="n">
        <v>34</v>
      </c>
      <c r="H35" s="12" t="s">
        <v>279</v>
      </c>
      <c r="I35" s="12" t="s">
        <v>280</v>
      </c>
      <c r="J35" s="12" t="s">
        <v>281</v>
      </c>
      <c r="K35" s="12" t="s">
        <v>65</v>
      </c>
      <c r="L35" s="12" t="n">
        <v>8</v>
      </c>
      <c r="M35" s="12" t="n">
        <v>48</v>
      </c>
    </row>
    <row r="36" customFormat="false" ht="15" hidden="false" customHeight="false" outlineLevel="0" collapsed="false">
      <c r="A36" s="12" t="s">
        <v>282</v>
      </c>
      <c r="B36" s="12" t="s">
        <v>283</v>
      </c>
      <c r="C36" s="12" t="n">
        <v>11</v>
      </c>
      <c r="D36" s="12" t="s">
        <v>133</v>
      </c>
      <c r="E36" s="12" t="s">
        <v>67</v>
      </c>
      <c r="F36" s="12" t="s">
        <v>134</v>
      </c>
      <c r="G36" s="12" t="n">
        <v>39</v>
      </c>
      <c r="H36" s="12" t="s">
        <v>284</v>
      </c>
      <c r="I36" s="12" t="s">
        <v>285</v>
      </c>
      <c r="J36" s="12" t="s">
        <v>286</v>
      </c>
      <c r="K36" s="12" t="s">
        <v>65</v>
      </c>
      <c r="L36" s="12" t="n">
        <v>8</v>
      </c>
      <c r="M36" s="12" t="n">
        <v>48</v>
      </c>
    </row>
    <row r="37" customFormat="false" ht="15" hidden="false" customHeight="false" outlineLevel="0" collapsed="false">
      <c r="A37" s="12" t="s">
        <v>287</v>
      </c>
      <c r="B37" s="12" t="s">
        <v>283</v>
      </c>
      <c r="C37" s="12" t="n">
        <v>11</v>
      </c>
      <c r="D37" s="12" t="s">
        <v>139</v>
      </c>
      <c r="E37" s="12" t="s">
        <v>67</v>
      </c>
      <c r="F37" s="12" t="s">
        <v>134</v>
      </c>
      <c r="G37" s="12" t="n">
        <v>36</v>
      </c>
      <c r="H37" s="12" t="s">
        <v>288</v>
      </c>
      <c r="I37" s="12" t="s">
        <v>289</v>
      </c>
      <c r="J37" s="12" t="s">
        <v>290</v>
      </c>
      <c r="K37" s="12" t="s">
        <v>65</v>
      </c>
      <c r="L37" s="12" t="n">
        <v>8</v>
      </c>
      <c r="M37" s="12" t="n">
        <v>48</v>
      </c>
    </row>
    <row r="38" customFormat="false" ht="15" hidden="false" customHeight="false" outlineLevel="0" collapsed="false">
      <c r="A38" s="12" t="s">
        <v>291</v>
      </c>
      <c r="B38" s="12" t="s">
        <v>283</v>
      </c>
      <c r="C38" s="12" t="n">
        <v>11</v>
      </c>
      <c r="D38" s="12" t="s">
        <v>153</v>
      </c>
      <c r="E38" s="12" t="s">
        <v>67</v>
      </c>
      <c r="F38" s="12" t="s">
        <v>134</v>
      </c>
      <c r="G38" s="12" t="n">
        <v>34</v>
      </c>
      <c r="H38" s="12" t="s">
        <v>292</v>
      </c>
      <c r="I38" s="12" t="s">
        <v>293</v>
      </c>
      <c r="J38" s="12" t="s">
        <v>294</v>
      </c>
      <c r="K38" s="12" t="s">
        <v>65</v>
      </c>
      <c r="L38" s="12" t="n">
        <v>8</v>
      </c>
      <c r="M38" s="12" t="n">
        <v>48</v>
      </c>
    </row>
    <row r="39" customFormat="false" ht="15" hidden="false" customHeight="false" outlineLevel="0" collapsed="false">
      <c r="A39" s="12" t="s">
        <v>295</v>
      </c>
      <c r="B39" s="12" t="s">
        <v>296</v>
      </c>
      <c r="C39" s="12" t="n">
        <v>12</v>
      </c>
      <c r="D39" s="12" t="s">
        <v>133</v>
      </c>
      <c r="E39" s="12" t="s">
        <v>70</v>
      </c>
      <c r="F39" s="12" t="s">
        <v>134</v>
      </c>
      <c r="G39" s="12" t="n">
        <v>40</v>
      </c>
      <c r="H39" s="12" t="s">
        <v>297</v>
      </c>
      <c r="I39" s="12" t="s">
        <v>298</v>
      </c>
      <c r="J39" s="12" t="s">
        <v>299</v>
      </c>
      <c r="K39" s="12" t="s">
        <v>65</v>
      </c>
      <c r="L39" s="12" t="n">
        <v>8</v>
      </c>
      <c r="M39" s="12" t="n">
        <v>48</v>
      </c>
    </row>
    <row r="40" customFormat="false" ht="15" hidden="false" customHeight="false" outlineLevel="0" collapsed="false">
      <c r="A40" s="12" t="s">
        <v>300</v>
      </c>
      <c r="B40" s="12" t="s">
        <v>296</v>
      </c>
      <c r="C40" s="12" t="n">
        <v>12</v>
      </c>
      <c r="D40" s="12" t="s">
        <v>139</v>
      </c>
      <c r="E40" s="12" t="s">
        <v>70</v>
      </c>
      <c r="F40" s="12" t="s">
        <v>134</v>
      </c>
      <c r="G40" s="12" t="n">
        <v>48</v>
      </c>
      <c r="H40" s="12" t="s">
        <v>301</v>
      </c>
      <c r="I40" s="12" t="s">
        <v>302</v>
      </c>
      <c r="J40" s="12" t="s">
        <v>303</v>
      </c>
      <c r="K40" s="12" t="s">
        <v>65</v>
      </c>
      <c r="L40" s="12" t="n">
        <v>8</v>
      </c>
      <c r="M40" s="12" t="n">
        <v>48</v>
      </c>
    </row>
    <row r="41" customFormat="false" ht="15" hidden="false" customHeight="false" outlineLevel="0" collapsed="false">
      <c r="A41" s="12" t="s">
        <v>304</v>
      </c>
      <c r="B41" s="12" t="s">
        <v>296</v>
      </c>
      <c r="C41" s="12" t="n">
        <v>12</v>
      </c>
      <c r="D41" s="12" t="s">
        <v>153</v>
      </c>
      <c r="E41" s="12" t="s">
        <v>70</v>
      </c>
      <c r="F41" s="12" t="s">
        <v>134</v>
      </c>
      <c r="G41" s="12" t="n">
        <v>38</v>
      </c>
      <c r="H41" s="12" t="s">
        <v>305</v>
      </c>
      <c r="I41" s="12" t="s">
        <v>306</v>
      </c>
      <c r="J41" s="12" t="s">
        <v>307</v>
      </c>
      <c r="K41" s="12" t="s">
        <v>65</v>
      </c>
      <c r="L41" s="12" t="n">
        <v>8</v>
      </c>
      <c r="M41" s="12" t="n">
        <v>48</v>
      </c>
    </row>
    <row r="42" customFormat="false" ht="15" hidden="false" customHeight="false" outlineLevel="0" collapsed="false">
      <c r="A42" s="12" t="s">
        <v>308</v>
      </c>
      <c r="B42" s="12" t="s">
        <v>296</v>
      </c>
      <c r="C42" s="12" t="n">
        <v>12</v>
      </c>
      <c r="D42" s="12" t="s">
        <v>180</v>
      </c>
      <c r="E42" s="12" t="s">
        <v>70</v>
      </c>
      <c r="F42" s="12" t="s">
        <v>134</v>
      </c>
      <c r="G42" s="12" t="n">
        <v>38</v>
      </c>
      <c r="H42" s="12" t="s">
        <v>309</v>
      </c>
      <c r="I42" s="12" t="s">
        <v>310</v>
      </c>
      <c r="J42" s="12" t="s">
        <v>311</v>
      </c>
      <c r="K42" s="12" t="s">
        <v>65</v>
      </c>
      <c r="L42" s="12" t="n">
        <v>8</v>
      </c>
      <c r="M42" s="12" t="n">
        <v>48</v>
      </c>
    </row>
    <row r="43" customFormat="false" ht="15" hidden="false" customHeight="false" outlineLevel="0" collapsed="false">
      <c r="A43" s="12" t="s">
        <v>312</v>
      </c>
      <c r="B43" s="12" t="s">
        <v>313</v>
      </c>
      <c r="C43" s="12" t="n">
        <v>13</v>
      </c>
      <c r="D43" s="12" t="s">
        <v>133</v>
      </c>
      <c r="E43" s="12" t="s">
        <v>70</v>
      </c>
      <c r="F43" s="12" t="s">
        <v>134</v>
      </c>
      <c r="G43" s="12" t="n">
        <v>39</v>
      </c>
      <c r="H43" s="12" t="s">
        <v>314</v>
      </c>
      <c r="I43" s="12" t="s">
        <v>315</v>
      </c>
      <c r="J43" s="12" t="s">
        <v>316</v>
      </c>
      <c r="K43" s="12" t="s">
        <v>65</v>
      </c>
      <c r="L43" s="12" t="n">
        <v>8</v>
      </c>
      <c r="M43" s="12" t="n">
        <v>48</v>
      </c>
    </row>
    <row r="44" customFormat="false" ht="15" hidden="false" customHeight="false" outlineLevel="0" collapsed="false">
      <c r="A44" s="12" t="s">
        <v>317</v>
      </c>
      <c r="B44" s="12" t="s">
        <v>313</v>
      </c>
      <c r="C44" s="12" t="n">
        <v>13</v>
      </c>
      <c r="D44" s="12" t="s">
        <v>139</v>
      </c>
      <c r="E44" s="12" t="s">
        <v>70</v>
      </c>
      <c r="F44" s="12" t="s">
        <v>134</v>
      </c>
      <c r="G44" s="12" t="n">
        <v>37</v>
      </c>
      <c r="H44" s="12" t="s">
        <v>318</v>
      </c>
      <c r="I44" s="12" t="s">
        <v>319</v>
      </c>
      <c r="J44" s="12" t="s">
        <v>320</v>
      </c>
      <c r="K44" s="12" t="s">
        <v>65</v>
      </c>
      <c r="L44" s="12" t="n">
        <v>8</v>
      </c>
      <c r="M44" s="12" t="n">
        <v>48</v>
      </c>
    </row>
    <row r="45" customFormat="false" ht="15" hidden="false" customHeight="false" outlineLevel="0" collapsed="false">
      <c r="A45" s="12" t="s">
        <v>321</v>
      </c>
      <c r="B45" s="12" t="s">
        <v>313</v>
      </c>
      <c r="C45" s="12" t="n">
        <v>13</v>
      </c>
      <c r="D45" s="12" t="s">
        <v>153</v>
      </c>
      <c r="E45" s="12" t="s">
        <v>70</v>
      </c>
      <c r="F45" s="12" t="s">
        <v>134</v>
      </c>
      <c r="G45" s="12" t="n">
        <v>41</v>
      </c>
      <c r="H45" s="12" t="s">
        <v>322</v>
      </c>
      <c r="I45" s="12" t="s">
        <v>323</v>
      </c>
      <c r="J45" s="12" t="s">
        <v>324</v>
      </c>
      <c r="K45" s="12" t="s">
        <v>65</v>
      </c>
      <c r="L45" s="12" t="n">
        <v>8</v>
      </c>
      <c r="M45" s="12" t="n">
        <v>48</v>
      </c>
    </row>
    <row r="46" customFormat="false" ht="15" hidden="false" customHeight="false" outlineLevel="0" collapsed="false">
      <c r="A46" s="12" t="s">
        <v>325</v>
      </c>
      <c r="B46" s="12" t="s">
        <v>313</v>
      </c>
      <c r="C46" s="12" t="n">
        <v>13</v>
      </c>
      <c r="D46" s="12" t="s">
        <v>180</v>
      </c>
      <c r="E46" s="12" t="s">
        <v>70</v>
      </c>
      <c r="F46" s="12" t="s">
        <v>134</v>
      </c>
      <c r="G46" s="12" t="n">
        <v>41</v>
      </c>
      <c r="H46" s="12" t="s">
        <v>326</v>
      </c>
      <c r="I46" s="12" t="s">
        <v>327</v>
      </c>
      <c r="J46" s="12" t="s">
        <v>328</v>
      </c>
      <c r="K46" s="12" t="s">
        <v>65</v>
      </c>
      <c r="L46" s="12" t="n">
        <v>8</v>
      </c>
      <c r="M46" s="12" t="n">
        <v>48</v>
      </c>
    </row>
    <row r="47" customFormat="false" ht="15" hidden="false" customHeight="false" outlineLevel="0" collapsed="false">
      <c r="A47" s="12" t="s">
        <v>329</v>
      </c>
      <c r="B47" s="12" t="s">
        <v>330</v>
      </c>
      <c r="C47" s="12" t="n">
        <v>14</v>
      </c>
      <c r="D47" s="12" t="s">
        <v>133</v>
      </c>
      <c r="E47" s="12" t="s">
        <v>72</v>
      </c>
      <c r="F47" s="12" t="s">
        <v>331</v>
      </c>
      <c r="G47" s="12" t="n">
        <v>37</v>
      </c>
      <c r="H47" s="12" t="s">
        <v>332</v>
      </c>
      <c r="I47" s="12" t="s">
        <v>333</v>
      </c>
      <c r="J47" s="12" t="s">
        <v>334</v>
      </c>
      <c r="K47" s="12" t="s">
        <v>65</v>
      </c>
      <c r="L47" s="12" t="n">
        <v>8</v>
      </c>
      <c r="M47" s="12" t="n">
        <v>48</v>
      </c>
    </row>
    <row r="48" customFormat="false" ht="15" hidden="false" customHeight="false" outlineLevel="0" collapsed="false">
      <c r="A48" s="12" t="s">
        <v>335</v>
      </c>
      <c r="B48" s="12" t="s">
        <v>330</v>
      </c>
      <c r="C48" s="12" t="n">
        <v>14</v>
      </c>
      <c r="D48" s="12" t="s">
        <v>139</v>
      </c>
      <c r="E48" s="12" t="s">
        <v>72</v>
      </c>
      <c r="F48" s="12" t="s">
        <v>336</v>
      </c>
      <c r="G48" s="12" t="n">
        <v>35</v>
      </c>
      <c r="H48" s="12" t="s">
        <v>337</v>
      </c>
      <c r="I48" s="12" t="s">
        <v>338</v>
      </c>
      <c r="J48" s="12" t="s">
        <v>339</v>
      </c>
      <c r="K48" s="12" t="s">
        <v>65</v>
      </c>
      <c r="L48" s="12" t="n">
        <v>8</v>
      </c>
      <c r="M48" s="12" t="n">
        <v>48</v>
      </c>
    </row>
    <row r="49" customFormat="false" ht="15" hidden="false" customHeight="false" outlineLevel="0" collapsed="false">
      <c r="A49" s="12" t="s">
        <v>340</v>
      </c>
      <c r="B49" s="12" t="s">
        <v>330</v>
      </c>
      <c r="C49" s="12" t="n">
        <v>14</v>
      </c>
      <c r="D49" s="12" t="s">
        <v>153</v>
      </c>
      <c r="E49" s="12" t="s">
        <v>72</v>
      </c>
      <c r="F49" s="12" t="s">
        <v>331</v>
      </c>
      <c r="G49" s="12" t="n">
        <v>30</v>
      </c>
      <c r="H49" s="12" t="s">
        <v>341</v>
      </c>
      <c r="I49" s="12" t="s">
        <v>342</v>
      </c>
      <c r="J49" s="12" t="s">
        <v>343</v>
      </c>
      <c r="K49" s="12" t="s">
        <v>65</v>
      </c>
      <c r="L49" s="12" t="n">
        <v>8</v>
      </c>
      <c r="M49" s="12" t="n">
        <v>48</v>
      </c>
    </row>
    <row r="50" customFormat="false" ht="15" hidden="false" customHeight="false" outlineLevel="0" collapsed="false">
      <c r="A50" s="12" t="s">
        <v>344</v>
      </c>
      <c r="B50" s="12" t="s">
        <v>330</v>
      </c>
      <c r="C50" s="12" t="n">
        <v>14</v>
      </c>
      <c r="D50" s="12" t="s">
        <v>180</v>
      </c>
      <c r="E50" s="12" t="s">
        <v>72</v>
      </c>
      <c r="F50" s="12" t="s">
        <v>345</v>
      </c>
      <c r="G50" s="12" t="n">
        <v>26</v>
      </c>
      <c r="H50" s="12" t="s">
        <v>346</v>
      </c>
      <c r="I50" s="12" t="s">
        <v>347</v>
      </c>
      <c r="J50" s="12" t="s">
        <v>348</v>
      </c>
      <c r="K50" s="12" t="s">
        <v>65</v>
      </c>
      <c r="L50" s="12" t="n">
        <v>8</v>
      </c>
      <c r="M50" s="12" t="n">
        <v>48</v>
      </c>
    </row>
    <row r="51" customFormat="false" ht="15" hidden="false" customHeight="false" outlineLevel="0" collapsed="false">
      <c r="A51" s="12" t="s">
        <v>349</v>
      </c>
      <c r="B51" s="12" t="s">
        <v>330</v>
      </c>
      <c r="C51" s="12" t="n">
        <v>14</v>
      </c>
      <c r="D51" s="12" t="s">
        <v>245</v>
      </c>
      <c r="E51" s="12" t="s">
        <v>72</v>
      </c>
      <c r="F51" s="12" t="s">
        <v>345</v>
      </c>
      <c r="G51" s="12" t="n">
        <v>22</v>
      </c>
      <c r="H51" s="12" t="s">
        <v>350</v>
      </c>
      <c r="I51" s="12" t="s">
        <v>351</v>
      </c>
      <c r="J51" s="12" t="s">
        <v>352</v>
      </c>
      <c r="K51" s="12" t="s">
        <v>65</v>
      </c>
      <c r="L51" s="12" t="n">
        <v>8</v>
      </c>
      <c r="M51" s="12" t="n">
        <v>48</v>
      </c>
    </row>
    <row r="52" customFormat="false" ht="15" hidden="false" customHeight="false" outlineLevel="0" collapsed="false">
      <c r="A52" s="12" t="s">
        <v>353</v>
      </c>
      <c r="B52" s="12" t="s">
        <v>330</v>
      </c>
      <c r="C52" s="12" t="n">
        <v>14</v>
      </c>
      <c r="D52" s="12" t="s">
        <v>354</v>
      </c>
      <c r="E52" s="12" t="s">
        <v>72</v>
      </c>
      <c r="F52" s="12" t="s">
        <v>355</v>
      </c>
      <c r="G52" s="12" t="n">
        <v>37</v>
      </c>
      <c r="H52" s="12" t="s">
        <v>356</v>
      </c>
      <c r="I52" s="12" t="s">
        <v>357</v>
      </c>
      <c r="J52" s="12" t="s">
        <v>358</v>
      </c>
      <c r="K52" s="12" t="s">
        <v>65</v>
      </c>
      <c r="L52" s="12" t="n">
        <v>8</v>
      </c>
      <c r="M52" s="12" t="n">
        <v>48</v>
      </c>
    </row>
    <row r="53" customFormat="false" ht="15" hidden="false" customHeight="false" outlineLevel="0" collapsed="false">
      <c r="A53" s="12" t="s">
        <v>359</v>
      </c>
      <c r="B53" s="12" t="s">
        <v>360</v>
      </c>
      <c r="C53" s="12" t="n">
        <v>15</v>
      </c>
      <c r="D53" s="12" t="s">
        <v>133</v>
      </c>
      <c r="E53" s="12" t="s">
        <v>72</v>
      </c>
      <c r="F53" s="12" t="s">
        <v>331</v>
      </c>
      <c r="G53" s="12" t="n">
        <v>31</v>
      </c>
      <c r="H53" s="12" t="s">
        <v>361</v>
      </c>
      <c r="I53" s="12" t="s">
        <v>362</v>
      </c>
      <c r="J53" s="12" t="s">
        <v>363</v>
      </c>
      <c r="K53" s="12" t="s">
        <v>65</v>
      </c>
      <c r="L53" s="12" t="n">
        <v>8</v>
      </c>
      <c r="M53" s="12" t="n">
        <v>48</v>
      </c>
    </row>
    <row r="54" customFormat="false" ht="15" hidden="false" customHeight="false" outlineLevel="0" collapsed="false">
      <c r="A54" s="12" t="s">
        <v>364</v>
      </c>
      <c r="B54" s="12" t="s">
        <v>360</v>
      </c>
      <c r="C54" s="12" t="n">
        <v>15</v>
      </c>
      <c r="D54" s="12" t="s">
        <v>139</v>
      </c>
      <c r="E54" s="12" t="s">
        <v>72</v>
      </c>
      <c r="F54" s="12" t="s">
        <v>336</v>
      </c>
      <c r="G54" s="12" t="n">
        <v>31</v>
      </c>
      <c r="H54" s="12" t="s">
        <v>365</v>
      </c>
      <c r="I54" s="12" t="s">
        <v>366</v>
      </c>
      <c r="J54" s="12" t="s">
        <v>367</v>
      </c>
      <c r="K54" s="12" t="s">
        <v>65</v>
      </c>
      <c r="L54" s="12" t="n">
        <v>8</v>
      </c>
      <c r="M54" s="12" t="n">
        <v>48</v>
      </c>
    </row>
    <row r="55" customFormat="false" ht="15" hidden="false" customHeight="false" outlineLevel="0" collapsed="false">
      <c r="A55" s="12" t="s">
        <v>368</v>
      </c>
      <c r="B55" s="12" t="s">
        <v>360</v>
      </c>
      <c r="C55" s="12" t="n">
        <v>15</v>
      </c>
      <c r="D55" s="12" t="s">
        <v>153</v>
      </c>
      <c r="E55" s="12" t="s">
        <v>72</v>
      </c>
      <c r="F55" s="12" t="s">
        <v>345</v>
      </c>
      <c r="G55" s="12" t="n">
        <v>33</v>
      </c>
      <c r="H55" s="12" t="s">
        <v>369</v>
      </c>
      <c r="I55" s="12" t="s">
        <v>370</v>
      </c>
      <c r="J55" s="12" t="s">
        <v>371</v>
      </c>
      <c r="K55" s="12" t="s">
        <v>65</v>
      </c>
      <c r="L55" s="12" t="n">
        <v>8</v>
      </c>
      <c r="M55" s="12" t="n">
        <v>48</v>
      </c>
    </row>
    <row r="56" customFormat="false" ht="15" hidden="false" customHeight="false" outlineLevel="0" collapsed="false">
      <c r="A56" s="12" t="s">
        <v>372</v>
      </c>
      <c r="B56" s="12" t="s">
        <v>360</v>
      </c>
      <c r="C56" s="12" t="n">
        <v>15</v>
      </c>
      <c r="D56" s="12" t="s">
        <v>180</v>
      </c>
      <c r="E56" s="12" t="s">
        <v>72</v>
      </c>
      <c r="F56" s="12" t="s">
        <v>355</v>
      </c>
      <c r="G56" s="12" t="n">
        <v>32</v>
      </c>
      <c r="H56" s="12" t="s">
        <v>373</v>
      </c>
      <c r="I56" s="12" t="s">
        <v>374</v>
      </c>
      <c r="J56" s="12" t="s">
        <v>375</v>
      </c>
      <c r="K56" s="12" t="s">
        <v>65</v>
      </c>
      <c r="L56" s="12" t="n">
        <v>8</v>
      </c>
      <c r="M56" s="12" t="n">
        <v>48</v>
      </c>
    </row>
  </sheetData>
  <autoFilter ref="A1:M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5" min="3" style="0" width="16"/>
    <col collapsed="false" customWidth="true" hidden="false" outlineLevel="0" max="6" min="6" style="0" width="15"/>
    <col collapsed="false" customWidth="true" hidden="false" outlineLevel="0" max="7" min="7" style="0" width="24"/>
    <col collapsed="false" customWidth="true" hidden="false" outlineLevel="0" max="8" min="8" style="0" width="70"/>
  </cols>
  <sheetData>
    <row r="1" customFormat="false" ht="31.5" hidden="false" customHeight="true" outlineLevel="0" collapsed="false">
      <c r="A1" s="6" t="s">
        <v>376</v>
      </c>
      <c r="B1" s="6" t="s">
        <v>377</v>
      </c>
      <c r="C1" s="6" t="s">
        <v>378</v>
      </c>
      <c r="D1" s="6" t="s">
        <v>379</v>
      </c>
      <c r="E1" s="6" t="s">
        <v>380</v>
      </c>
      <c r="F1" s="6" t="s">
        <v>381</v>
      </c>
      <c r="G1" s="6" t="s">
        <v>382</v>
      </c>
      <c r="H1" s="6" t="s">
        <v>383</v>
      </c>
    </row>
    <row r="2" customFormat="false" ht="15" hidden="false" customHeight="false" outlineLevel="0" collapsed="false">
      <c r="A2" s="12" t="s">
        <v>384</v>
      </c>
      <c r="B2" s="12" t="s">
        <v>385</v>
      </c>
      <c r="C2" s="12" t="s">
        <v>386</v>
      </c>
      <c r="D2" s="12" t="s">
        <v>387</v>
      </c>
      <c r="E2" s="12" t="s">
        <v>388</v>
      </c>
      <c r="F2" s="12" t="s">
        <v>389</v>
      </c>
      <c r="G2" s="12" t="s">
        <v>390</v>
      </c>
      <c r="H2" s="12" t="s">
        <v>391</v>
      </c>
    </row>
    <row r="3" customFormat="false" ht="15" hidden="false" customHeight="false" outlineLevel="0" collapsed="false">
      <c r="A3" s="12" t="s">
        <v>392</v>
      </c>
      <c r="B3" s="12" t="s">
        <v>393</v>
      </c>
      <c r="C3" s="12" t="s">
        <v>386</v>
      </c>
      <c r="D3" s="12" t="s">
        <v>387</v>
      </c>
      <c r="E3" s="12" t="s">
        <v>388</v>
      </c>
      <c r="F3" s="12" t="s">
        <v>389</v>
      </c>
      <c r="G3" s="12" t="s">
        <v>394</v>
      </c>
      <c r="H3" s="12" t="s">
        <v>395</v>
      </c>
    </row>
    <row r="4" customFormat="false" ht="15" hidden="false" customHeight="false" outlineLevel="0" collapsed="false">
      <c r="A4" s="12" t="s">
        <v>396</v>
      </c>
      <c r="B4" s="12" t="s">
        <v>397</v>
      </c>
      <c r="C4" s="12" t="s">
        <v>386</v>
      </c>
      <c r="D4" s="12" t="s">
        <v>387</v>
      </c>
      <c r="E4" s="12" t="s">
        <v>388</v>
      </c>
      <c r="F4" s="12" t="s">
        <v>389</v>
      </c>
      <c r="G4" s="12" t="s">
        <v>398</v>
      </c>
      <c r="H4" s="12" t="s">
        <v>399</v>
      </c>
    </row>
    <row r="5" customFormat="false" ht="15" hidden="false" customHeight="false" outlineLevel="0" collapsed="false">
      <c r="A5" s="12" t="s">
        <v>400</v>
      </c>
      <c r="B5" s="12" t="s">
        <v>401</v>
      </c>
      <c r="C5" s="12" t="s">
        <v>402</v>
      </c>
      <c r="D5" s="12" t="s">
        <v>387</v>
      </c>
      <c r="E5" s="12" t="s">
        <v>388</v>
      </c>
      <c r="F5" s="12" t="s">
        <v>389</v>
      </c>
      <c r="G5" s="12" t="s">
        <v>390</v>
      </c>
      <c r="H5" s="12" t="s">
        <v>403</v>
      </c>
    </row>
    <row r="6" customFormat="false" ht="15" hidden="false" customHeight="false" outlineLevel="0" collapsed="false">
      <c r="A6" s="12" t="s">
        <v>404</v>
      </c>
      <c r="B6" s="12" t="s">
        <v>405</v>
      </c>
      <c r="C6" s="12" t="s">
        <v>402</v>
      </c>
      <c r="D6" s="12" t="s">
        <v>387</v>
      </c>
      <c r="E6" s="12" t="s">
        <v>388</v>
      </c>
      <c r="F6" s="12" t="s">
        <v>389</v>
      </c>
      <c r="G6" s="12" t="s">
        <v>406</v>
      </c>
      <c r="H6" s="12" t="s">
        <v>407</v>
      </c>
    </row>
    <row r="7" customFormat="false" ht="15" hidden="false" customHeight="false" outlineLevel="0" collapsed="false">
      <c r="A7" s="12" t="s">
        <v>408</v>
      </c>
      <c r="B7" s="12" t="s">
        <v>409</v>
      </c>
      <c r="C7" s="12" t="s">
        <v>402</v>
      </c>
      <c r="D7" s="12" t="s">
        <v>387</v>
      </c>
      <c r="E7" s="12" t="s">
        <v>388</v>
      </c>
      <c r="F7" s="12" t="s">
        <v>389</v>
      </c>
      <c r="G7" s="12" t="s">
        <v>410</v>
      </c>
      <c r="H7" s="12" t="s">
        <v>411</v>
      </c>
    </row>
    <row r="8" customFormat="false" ht="15" hidden="false" customHeight="false" outlineLevel="0" collapsed="false">
      <c r="A8" s="12" t="s">
        <v>412</v>
      </c>
      <c r="B8" s="12" t="s">
        <v>413</v>
      </c>
      <c r="C8" s="12" t="s">
        <v>402</v>
      </c>
      <c r="D8" s="12" t="s">
        <v>387</v>
      </c>
      <c r="E8" s="12" t="s">
        <v>388</v>
      </c>
      <c r="F8" s="12" t="s">
        <v>389</v>
      </c>
      <c r="G8" s="12" t="s">
        <v>410</v>
      </c>
      <c r="H8" s="12"/>
    </row>
    <row r="9" customFormat="false" ht="15" hidden="false" customHeight="false" outlineLevel="0" collapsed="false">
      <c r="A9" s="12" t="s">
        <v>414</v>
      </c>
      <c r="B9" s="12" t="s">
        <v>415</v>
      </c>
      <c r="C9" s="12" t="s">
        <v>416</v>
      </c>
      <c r="D9" s="12" t="s">
        <v>387</v>
      </c>
      <c r="E9" s="12" t="s">
        <v>417</v>
      </c>
      <c r="F9" s="12" t="s">
        <v>418</v>
      </c>
      <c r="G9" s="12" t="s">
        <v>419</v>
      </c>
      <c r="H9" s="12" t="s">
        <v>420</v>
      </c>
    </row>
    <row r="10" customFormat="false" ht="15" hidden="false" customHeight="false" outlineLevel="0" collapsed="false">
      <c r="A10" s="12" t="s">
        <v>421</v>
      </c>
      <c r="B10" s="12" t="s">
        <v>422</v>
      </c>
      <c r="C10" s="12" t="s">
        <v>423</v>
      </c>
      <c r="D10" s="12" t="s">
        <v>387</v>
      </c>
      <c r="E10" s="12" t="s">
        <v>424</v>
      </c>
      <c r="F10" s="12" t="s">
        <v>418</v>
      </c>
      <c r="G10" s="12" t="s">
        <v>425</v>
      </c>
      <c r="H10" s="12" t="s">
        <v>426</v>
      </c>
    </row>
    <row r="11" customFormat="false" ht="15" hidden="false" customHeight="false" outlineLevel="0" collapsed="false">
      <c r="A11" s="12" t="s">
        <v>427</v>
      </c>
      <c r="B11" s="12" t="s">
        <v>428</v>
      </c>
      <c r="C11" s="12" t="s">
        <v>423</v>
      </c>
      <c r="D11" s="12" t="s">
        <v>387</v>
      </c>
      <c r="E11" s="12" t="s">
        <v>429</v>
      </c>
      <c r="F11" s="12" t="s">
        <v>418</v>
      </c>
      <c r="G11" s="12" t="s">
        <v>425</v>
      </c>
      <c r="H11" s="12" t="s">
        <v>426</v>
      </c>
    </row>
    <row r="12" customFormat="false" ht="15" hidden="false" customHeight="false" outlineLevel="0" collapsed="false">
      <c r="A12" s="12" t="s">
        <v>430</v>
      </c>
      <c r="B12" s="12" t="s">
        <v>431</v>
      </c>
      <c r="C12" s="12" t="s">
        <v>423</v>
      </c>
      <c r="D12" s="12" t="s">
        <v>387</v>
      </c>
      <c r="E12" s="12" t="s">
        <v>432</v>
      </c>
      <c r="F12" s="12" t="s">
        <v>418</v>
      </c>
      <c r="G12" s="12" t="s">
        <v>433</v>
      </c>
      <c r="H12" s="12" t="s">
        <v>426</v>
      </c>
    </row>
    <row r="13" customFormat="false" ht="15" hidden="false" customHeight="false" outlineLevel="0" collapsed="false">
      <c r="A13" s="12" t="s">
        <v>434</v>
      </c>
      <c r="B13" s="12" t="s">
        <v>435</v>
      </c>
      <c r="C13" s="12" t="s">
        <v>436</v>
      </c>
      <c r="D13" s="12" t="s">
        <v>387</v>
      </c>
      <c r="E13" s="12" t="s">
        <v>388</v>
      </c>
      <c r="F13" s="12" t="s">
        <v>389</v>
      </c>
      <c r="G13" s="12" t="s">
        <v>433</v>
      </c>
      <c r="H13" s="12"/>
    </row>
    <row r="14" customFormat="false" ht="15" hidden="false" customHeight="false" outlineLevel="0" collapsed="false">
      <c r="A14" s="12" t="s">
        <v>437</v>
      </c>
      <c r="B14" s="12" t="s">
        <v>438</v>
      </c>
      <c r="C14" s="12" t="s">
        <v>436</v>
      </c>
      <c r="D14" s="12" t="s">
        <v>387</v>
      </c>
      <c r="E14" s="12" t="s">
        <v>388</v>
      </c>
      <c r="F14" s="12" t="s">
        <v>389</v>
      </c>
      <c r="G14" s="12" t="s">
        <v>439</v>
      </c>
      <c r="H14" s="12"/>
    </row>
    <row r="15" customFormat="false" ht="15" hidden="false" customHeight="false" outlineLevel="0" collapsed="false">
      <c r="A15" s="12" t="s">
        <v>440</v>
      </c>
      <c r="B15" s="12" t="s">
        <v>441</v>
      </c>
      <c r="C15" s="12" t="s">
        <v>436</v>
      </c>
      <c r="D15" s="12" t="s">
        <v>387</v>
      </c>
      <c r="E15" s="12" t="s">
        <v>388</v>
      </c>
      <c r="F15" s="12" t="s">
        <v>389</v>
      </c>
      <c r="G15" s="12" t="s">
        <v>439</v>
      </c>
      <c r="H15" s="12"/>
    </row>
    <row r="16" customFormat="false" ht="15" hidden="false" customHeight="false" outlineLevel="0" collapsed="false">
      <c r="A16" s="12" t="s">
        <v>442</v>
      </c>
      <c r="B16" s="12" t="s">
        <v>443</v>
      </c>
      <c r="C16" s="12" t="s">
        <v>436</v>
      </c>
      <c r="D16" s="12" t="s">
        <v>387</v>
      </c>
      <c r="E16" s="12" t="s">
        <v>388</v>
      </c>
      <c r="F16" s="12" t="s">
        <v>389</v>
      </c>
      <c r="G16" s="12" t="s">
        <v>444</v>
      </c>
      <c r="H16" s="12" t="s">
        <v>445</v>
      </c>
    </row>
    <row r="17" customFormat="false" ht="15" hidden="false" customHeight="false" outlineLevel="0" collapsed="false">
      <c r="A17" s="12" t="s">
        <v>446</v>
      </c>
      <c r="B17" s="12" t="s">
        <v>447</v>
      </c>
      <c r="C17" s="12" t="s">
        <v>436</v>
      </c>
      <c r="D17" s="12" t="s">
        <v>387</v>
      </c>
      <c r="E17" s="12" t="s">
        <v>388</v>
      </c>
      <c r="F17" s="12" t="s">
        <v>389</v>
      </c>
      <c r="G17" s="12" t="s">
        <v>448</v>
      </c>
      <c r="H17" s="12"/>
    </row>
    <row r="18" customFormat="false" ht="15" hidden="false" customHeight="false" outlineLevel="0" collapsed="false">
      <c r="A18" s="12" t="s">
        <v>449</v>
      </c>
      <c r="B18" s="12" t="s">
        <v>450</v>
      </c>
      <c r="C18" s="12" t="s">
        <v>436</v>
      </c>
      <c r="D18" s="12" t="s">
        <v>387</v>
      </c>
      <c r="E18" s="12" t="s">
        <v>388</v>
      </c>
      <c r="F18" s="12" t="s">
        <v>389</v>
      </c>
      <c r="G18" s="12" t="s">
        <v>448</v>
      </c>
      <c r="H18" s="12"/>
    </row>
    <row r="19" customFormat="false" ht="15" hidden="false" customHeight="false" outlineLevel="0" collapsed="false">
      <c r="A19" s="12" t="s">
        <v>451</v>
      </c>
      <c r="B19" s="12" t="s">
        <v>452</v>
      </c>
      <c r="C19" s="12" t="s">
        <v>436</v>
      </c>
      <c r="D19" s="12" t="s">
        <v>387</v>
      </c>
      <c r="E19" s="12" t="s">
        <v>388</v>
      </c>
      <c r="F19" s="12" t="s">
        <v>389</v>
      </c>
      <c r="G19" s="12" t="s">
        <v>448</v>
      </c>
      <c r="H19" s="12"/>
    </row>
    <row r="20" customFormat="false" ht="15" hidden="false" customHeight="false" outlineLevel="0" collapsed="false">
      <c r="A20" s="12" t="s">
        <v>453</v>
      </c>
      <c r="B20" s="12" t="s">
        <v>454</v>
      </c>
      <c r="C20" s="12" t="s">
        <v>455</v>
      </c>
      <c r="D20" s="12" t="s">
        <v>118</v>
      </c>
      <c r="E20" s="12" t="s">
        <v>456</v>
      </c>
      <c r="F20" s="12" t="s">
        <v>389</v>
      </c>
      <c r="G20" s="12" t="s">
        <v>394</v>
      </c>
      <c r="H20" s="12" t="s">
        <v>457</v>
      </c>
    </row>
    <row r="21" customFormat="false" ht="15" hidden="false" customHeight="false" outlineLevel="0" collapsed="false">
      <c r="A21" s="12" t="s">
        <v>458</v>
      </c>
      <c r="B21" s="12" t="s">
        <v>459</v>
      </c>
      <c r="C21" s="12" t="s">
        <v>455</v>
      </c>
      <c r="D21" s="12" t="s">
        <v>118</v>
      </c>
      <c r="E21" s="12" t="s">
        <v>460</v>
      </c>
      <c r="F21" s="12" t="s">
        <v>389</v>
      </c>
      <c r="G21" s="12" t="s">
        <v>461</v>
      </c>
      <c r="H21" s="12" t="s">
        <v>462</v>
      </c>
    </row>
    <row r="22" customFormat="false" ht="15" hidden="false" customHeight="false" outlineLevel="0" collapsed="false">
      <c r="A22" s="12" t="s">
        <v>463</v>
      </c>
      <c r="B22" s="12" t="s">
        <v>464</v>
      </c>
      <c r="C22" s="12" t="s">
        <v>455</v>
      </c>
      <c r="D22" s="12" t="s">
        <v>118</v>
      </c>
      <c r="E22" s="12" t="s">
        <v>465</v>
      </c>
      <c r="F22" s="12" t="s">
        <v>418</v>
      </c>
      <c r="G22" s="12" t="s">
        <v>466</v>
      </c>
      <c r="H22" s="12" t="s">
        <v>467</v>
      </c>
    </row>
    <row r="23" customFormat="false" ht="15" hidden="false" customHeight="false" outlineLevel="0" collapsed="false">
      <c r="A23" s="12" t="s">
        <v>468</v>
      </c>
      <c r="B23" s="12" t="s">
        <v>469</v>
      </c>
      <c r="C23" s="12" t="s">
        <v>455</v>
      </c>
      <c r="D23" s="12" t="s">
        <v>118</v>
      </c>
      <c r="E23" s="12" t="s">
        <v>470</v>
      </c>
      <c r="F23" s="12" t="s">
        <v>418</v>
      </c>
      <c r="G23" s="12" t="s">
        <v>390</v>
      </c>
      <c r="H23" s="12" t="s">
        <v>471</v>
      </c>
    </row>
    <row r="24" customFormat="false" ht="15" hidden="false" customHeight="false" outlineLevel="0" collapsed="false">
      <c r="A24" s="12" t="s">
        <v>472</v>
      </c>
      <c r="B24" s="12" t="s">
        <v>473</v>
      </c>
      <c r="C24" s="12" t="s">
        <v>455</v>
      </c>
      <c r="D24" s="12" t="s">
        <v>118</v>
      </c>
      <c r="E24" s="12" t="s">
        <v>474</v>
      </c>
      <c r="F24" s="12" t="s">
        <v>418</v>
      </c>
      <c r="G24" s="12" t="s">
        <v>475</v>
      </c>
      <c r="H24" s="12"/>
    </row>
    <row r="25" customFormat="false" ht="15" hidden="false" customHeight="false" outlineLevel="0" collapsed="false">
      <c r="A25" s="12" t="s">
        <v>476</v>
      </c>
      <c r="B25" s="12" t="s">
        <v>477</v>
      </c>
      <c r="C25" s="12" t="s">
        <v>59</v>
      </c>
      <c r="D25" s="12" t="s">
        <v>387</v>
      </c>
      <c r="E25" s="12" t="s">
        <v>388</v>
      </c>
      <c r="F25" s="12" t="s">
        <v>389</v>
      </c>
      <c r="G25" s="12" t="s">
        <v>110</v>
      </c>
      <c r="H25" s="12"/>
    </row>
    <row r="26" customFormat="false" ht="15" hidden="false" customHeight="false" outlineLevel="0" collapsed="false">
      <c r="A26" s="12" t="s">
        <v>478</v>
      </c>
      <c r="B26" s="12" t="s">
        <v>479</v>
      </c>
      <c r="C26" s="12" t="s">
        <v>455</v>
      </c>
      <c r="D26" s="12" t="s">
        <v>480</v>
      </c>
      <c r="E26" s="12" t="s">
        <v>388</v>
      </c>
      <c r="F26" s="12" t="s">
        <v>389</v>
      </c>
      <c r="G26" s="12" t="s">
        <v>390</v>
      </c>
      <c r="H26" s="12" t="s">
        <v>481</v>
      </c>
    </row>
  </sheetData>
  <autoFilter ref="A1:H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5" min="15" style="0" width="26"/>
    <col collapsed="false" customWidth="true" hidden="false" outlineLevel="0" max="16" min="16" style="0" width="11"/>
    <col collapsed="false" customWidth="true" hidden="false" outlineLevel="0" max="17" min="17" style="0" width="70"/>
  </cols>
  <sheetData>
    <row r="1" customFormat="false" ht="31.5" hidden="false" customHeight="true" outlineLevel="0" collapsed="false">
      <c r="A1" s="6" t="s">
        <v>482</v>
      </c>
      <c r="B1" s="6" t="s">
        <v>483</v>
      </c>
      <c r="C1" s="6" t="s">
        <v>484</v>
      </c>
      <c r="D1" s="6" t="s">
        <v>102</v>
      </c>
      <c r="E1" s="6" t="s">
        <v>485</v>
      </c>
      <c r="F1" s="6" t="s">
        <v>486</v>
      </c>
      <c r="G1" s="6" t="s">
        <v>487</v>
      </c>
      <c r="H1" s="6" t="s">
        <v>488</v>
      </c>
      <c r="I1" s="6" t="s">
        <v>105</v>
      </c>
      <c r="J1" s="6" t="s">
        <v>106</v>
      </c>
      <c r="K1" s="6" t="s">
        <v>54</v>
      </c>
      <c r="L1" s="6" t="s">
        <v>489</v>
      </c>
      <c r="M1" s="6" t="s">
        <v>490</v>
      </c>
      <c r="N1" s="6" t="s">
        <v>491</v>
      </c>
      <c r="O1" s="6" t="s">
        <v>492</v>
      </c>
      <c r="P1" s="6" t="s">
        <v>493</v>
      </c>
      <c r="Q1" s="6" t="s">
        <v>494</v>
      </c>
    </row>
    <row r="2" customFormat="false" ht="15" hidden="false" customHeight="false" outlineLevel="0" collapsed="false">
      <c r="A2" s="12" t="s">
        <v>495</v>
      </c>
      <c r="B2" s="12" t="s">
        <v>496</v>
      </c>
      <c r="C2" s="12" t="s">
        <v>354</v>
      </c>
      <c r="D2" s="12" t="s">
        <v>116</v>
      </c>
      <c r="E2" s="12" t="s">
        <v>421</v>
      </c>
      <c r="F2" s="12"/>
      <c r="G2" s="12" t="s">
        <v>72</v>
      </c>
      <c r="H2" s="12" t="s">
        <v>497</v>
      </c>
      <c r="I2" s="12" t="n">
        <v>26</v>
      </c>
      <c r="J2" s="12" t="n">
        <v>5</v>
      </c>
      <c r="K2" s="12" t="s">
        <v>65</v>
      </c>
      <c r="L2" s="12" t="s">
        <v>498</v>
      </c>
      <c r="M2" s="13"/>
      <c r="N2" s="12"/>
      <c r="O2" s="12" t="s">
        <v>499</v>
      </c>
      <c r="P2" s="12" t="n">
        <v>2003</v>
      </c>
      <c r="Q2" s="12" t="s">
        <v>500</v>
      </c>
    </row>
    <row r="3" customFormat="false" ht="15" hidden="false" customHeight="false" outlineLevel="0" collapsed="false">
      <c r="A3" s="12" t="s">
        <v>342</v>
      </c>
      <c r="B3" s="12" t="s">
        <v>343</v>
      </c>
      <c r="C3" s="12" t="s">
        <v>354</v>
      </c>
      <c r="D3" s="12" t="s">
        <v>116</v>
      </c>
      <c r="E3" s="12" t="s">
        <v>400</v>
      </c>
      <c r="F3" s="12"/>
      <c r="G3" s="12" t="s">
        <v>72</v>
      </c>
      <c r="H3" s="12" t="s">
        <v>497</v>
      </c>
      <c r="I3" s="12" t="n">
        <v>26</v>
      </c>
      <c r="J3" s="12" t="n">
        <v>5</v>
      </c>
      <c r="K3" s="12" t="s">
        <v>65</v>
      </c>
      <c r="L3" s="12" t="s">
        <v>501</v>
      </c>
      <c r="M3" s="13" t="n">
        <v>46418</v>
      </c>
      <c r="N3" s="12" t="s">
        <v>340</v>
      </c>
      <c r="O3" s="12" t="s">
        <v>502</v>
      </c>
      <c r="P3" s="12" t="n">
        <v>2004</v>
      </c>
      <c r="Q3" s="12" t="s">
        <v>503</v>
      </c>
    </row>
    <row r="4" customFormat="false" ht="15" hidden="false" customHeight="false" outlineLevel="0" collapsed="false">
      <c r="A4" s="12" t="s">
        <v>504</v>
      </c>
      <c r="B4" s="12" t="s">
        <v>505</v>
      </c>
      <c r="C4" s="12" t="s">
        <v>354</v>
      </c>
      <c r="D4" s="12" t="s">
        <v>116</v>
      </c>
      <c r="E4" s="12" t="s">
        <v>451</v>
      </c>
      <c r="F4" s="12"/>
      <c r="G4" s="12" t="s">
        <v>72</v>
      </c>
      <c r="H4" s="12" t="s">
        <v>497</v>
      </c>
      <c r="I4" s="12" t="n">
        <v>26</v>
      </c>
      <c r="J4" s="12" t="n">
        <v>5</v>
      </c>
      <c r="K4" s="12" t="s">
        <v>65</v>
      </c>
      <c r="L4" s="12" t="s">
        <v>498</v>
      </c>
      <c r="M4" s="13"/>
      <c r="N4" s="12"/>
      <c r="O4" s="12" t="s">
        <v>506</v>
      </c>
      <c r="P4" s="12" t="n">
        <v>2006</v>
      </c>
      <c r="Q4" s="12"/>
    </row>
    <row r="5" customFormat="false" ht="15" hidden="false" customHeight="false" outlineLevel="0" collapsed="false">
      <c r="A5" s="12" t="s">
        <v>347</v>
      </c>
      <c r="B5" s="12" t="s">
        <v>348</v>
      </c>
      <c r="C5" s="12" t="s">
        <v>507</v>
      </c>
      <c r="D5" s="12" t="s">
        <v>116</v>
      </c>
      <c r="E5" s="12" t="s">
        <v>437</v>
      </c>
      <c r="F5" s="12" t="s">
        <v>442</v>
      </c>
      <c r="G5" s="12" t="s">
        <v>72</v>
      </c>
      <c r="H5" s="12" t="s">
        <v>497</v>
      </c>
      <c r="I5" s="12" t="n">
        <v>26</v>
      </c>
      <c r="J5" s="12" t="n">
        <v>5</v>
      </c>
      <c r="K5" s="12" t="s">
        <v>65</v>
      </c>
      <c r="L5" s="12" t="s">
        <v>498</v>
      </c>
      <c r="M5" s="13"/>
      <c r="N5" s="12" t="s">
        <v>344</v>
      </c>
      <c r="O5" s="12" t="s">
        <v>508</v>
      </c>
      <c r="P5" s="12" t="n">
        <v>2007</v>
      </c>
      <c r="Q5" s="12" t="s">
        <v>509</v>
      </c>
    </row>
    <row r="6" customFormat="false" ht="15" hidden="false" customHeight="false" outlineLevel="0" collapsed="false">
      <c r="A6" s="12" t="s">
        <v>510</v>
      </c>
      <c r="B6" s="12" t="s">
        <v>511</v>
      </c>
      <c r="C6" s="12" t="s">
        <v>354</v>
      </c>
      <c r="D6" s="12" t="s">
        <v>113</v>
      </c>
      <c r="E6" s="12" t="s">
        <v>414</v>
      </c>
      <c r="F6" s="12" t="s">
        <v>400</v>
      </c>
      <c r="G6" s="12" t="s">
        <v>512</v>
      </c>
      <c r="H6" s="12" t="s">
        <v>497</v>
      </c>
      <c r="I6" s="12" t="n">
        <v>30</v>
      </c>
      <c r="J6" s="12" t="n">
        <v>6</v>
      </c>
      <c r="K6" s="12" t="s">
        <v>65</v>
      </c>
      <c r="L6" s="12" t="s">
        <v>498</v>
      </c>
      <c r="M6" s="13"/>
      <c r="N6" s="12"/>
      <c r="O6" s="12" t="s">
        <v>513</v>
      </c>
      <c r="P6" s="12" t="n">
        <v>2007</v>
      </c>
      <c r="Q6" s="12"/>
    </row>
    <row r="7" customFormat="false" ht="15" hidden="false" customHeight="false" outlineLevel="0" collapsed="false">
      <c r="A7" s="12" t="s">
        <v>357</v>
      </c>
      <c r="B7" s="12" t="s">
        <v>358</v>
      </c>
      <c r="C7" s="12" t="s">
        <v>507</v>
      </c>
      <c r="D7" s="12" t="s">
        <v>116</v>
      </c>
      <c r="E7" s="12" t="s">
        <v>446</v>
      </c>
      <c r="F7" s="12" t="s">
        <v>449</v>
      </c>
      <c r="G7" s="12" t="s">
        <v>72</v>
      </c>
      <c r="H7" s="12" t="s">
        <v>497</v>
      </c>
      <c r="I7" s="12" t="n">
        <v>26</v>
      </c>
      <c r="J7" s="12" t="n">
        <v>5</v>
      </c>
      <c r="K7" s="12" t="s">
        <v>65</v>
      </c>
      <c r="L7" s="12" t="s">
        <v>498</v>
      </c>
      <c r="M7" s="13"/>
      <c r="N7" s="12" t="s">
        <v>353</v>
      </c>
      <c r="O7" s="12" t="s">
        <v>514</v>
      </c>
      <c r="P7" s="12" t="n">
        <v>2007</v>
      </c>
      <c r="Q7" s="12"/>
    </row>
    <row r="8" customFormat="false" ht="15" hidden="false" customHeight="false" outlineLevel="0" collapsed="false">
      <c r="A8" s="12" t="s">
        <v>515</v>
      </c>
      <c r="B8" s="12" t="s">
        <v>516</v>
      </c>
      <c r="C8" s="12" t="s">
        <v>507</v>
      </c>
      <c r="D8" s="12" t="s">
        <v>118</v>
      </c>
      <c r="E8" s="12" t="s">
        <v>468</v>
      </c>
      <c r="F8" s="12"/>
      <c r="G8" s="12" t="s">
        <v>517</v>
      </c>
      <c r="H8" s="12" t="s">
        <v>497</v>
      </c>
      <c r="I8" s="12" t="n">
        <v>30</v>
      </c>
      <c r="J8" s="12" t="n">
        <v>6</v>
      </c>
      <c r="K8" s="12" t="s">
        <v>65</v>
      </c>
      <c r="L8" s="12" t="s">
        <v>498</v>
      </c>
      <c r="M8" s="13"/>
      <c r="N8" s="12"/>
      <c r="O8" s="12" t="s">
        <v>518</v>
      </c>
      <c r="P8" s="12" t="n">
        <v>2008</v>
      </c>
      <c r="Q8" s="12" t="s">
        <v>519</v>
      </c>
    </row>
    <row r="9" customFormat="false" ht="15" hidden="false" customHeight="false" outlineLevel="0" collapsed="false">
      <c r="A9" s="12" t="s">
        <v>252</v>
      </c>
      <c r="B9" s="12" t="s">
        <v>253</v>
      </c>
      <c r="C9" s="12" t="s">
        <v>354</v>
      </c>
      <c r="D9" s="12" t="s">
        <v>113</v>
      </c>
      <c r="E9" s="12" t="s">
        <v>412</v>
      </c>
      <c r="F9" s="12"/>
      <c r="G9" s="12" t="s">
        <v>520</v>
      </c>
      <c r="H9" s="12" t="s">
        <v>497</v>
      </c>
      <c r="I9" s="12" t="n">
        <v>30</v>
      </c>
      <c r="J9" s="12" t="n">
        <v>6</v>
      </c>
      <c r="K9" s="12" t="s">
        <v>65</v>
      </c>
      <c r="L9" s="12" t="s">
        <v>498</v>
      </c>
      <c r="M9" s="13"/>
      <c r="N9" s="12" t="s">
        <v>249</v>
      </c>
      <c r="O9" s="12" t="s">
        <v>521</v>
      </c>
      <c r="P9" s="12" t="n">
        <v>2008</v>
      </c>
      <c r="Q9" s="12"/>
    </row>
    <row r="10" customFormat="false" ht="15" hidden="false" customHeight="false" outlineLevel="0" collapsed="false">
      <c r="A10" s="12" t="s">
        <v>260</v>
      </c>
      <c r="B10" s="12" t="s">
        <v>261</v>
      </c>
      <c r="C10" s="12" t="s">
        <v>354</v>
      </c>
      <c r="D10" s="12" t="s">
        <v>113</v>
      </c>
      <c r="E10" s="12" t="s">
        <v>392</v>
      </c>
      <c r="F10" s="12" t="s">
        <v>396</v>
      </c>
      <c r="G10" s="12" t="s">
        <v>520</v>
      </c>
      <c r="H10" s="12" t="s">
        <v>497</v>
      </c>
      <c r="I10" s="12" t="n">
        <v>30</v>
      </c>
      <c r="J10" s="12" t="n">
        <v>6</v>
      </c>
      <c r="K10" s="12" t="s">
        <v>65</v>
      </c>
      <c r="L10" s="12" t="s">
        <v>498</v>
      </c>
      <c r="M10" s="13"/>
      <c r="N10" s="12" t="s">
        <v>258</v>
      </c>
      <c r="O10" s="12" t="s">
        <v>522</v>
      </c>
      <c r="P10" s="12" t="n">
        <v>2009</v>
      </c>
      <c r="Q10" s="12"/>
    </row>
    <row r="11" customFormat="false" ht="15" hidden="false" customHeight="false" outlineLevel="0" collapsed="false">
      <c r="A11" s="12" t="s">
        <v>306</v>
      </c>
      <c r="B11" s="12" t="s">
        <v>307</v>
      </c>
      <c r="C11" s="12" t="s">
        <v>354</v>
      </c>
      <c r="D11" s="12" t="s">
        <v>113</v>
      </c>
      <c r="E11" s="12" t="s">
        <v>384</v>
      </c>
      <c r="F11" s="12"/>
      <c r="G11" s="12" t="s">
        <v>520</v>
      </c>
      <c r="H11" s="12" t="s">
        <v>497</v>
      </c>
      <c r="I11" s="12" t="n">
        <v>30</v>
      </c>
      <c r="J11" s="12" t="n">
        <v>6</v>
      </c>
      <c r="K11" s="12" t="s">
        <v>65</v>
      </c>
      <c r="L11" s="12" t="s">
        <v>498</v>
      </c>
      <c r="M11" s="13"/>
      <c r="N11" s="12" t="s">
        <v>304</v>
      </c>
      <c r="O11" s="12" t="s">
        <v>523</v>
      </c>
      <c r="P11" s="12" t="n">
        <v>2009</v>
      </c>
      <c r="Q11" s="12"/>
    </row>
    <row r="12" customFormat="false" ht="15" hidden="false" customHeight="false" outlineLevel="0" collapsed="false">
      <c r="A12" s="12" t="s">
        <v>524</v>
      </c>
      <c r="B12" s="12" t="s">
        <v>525</v>
      </c>
      <c r="C12" s="12" t="s">
        <v>507</v>
      </c>
      <c r="D12" s="12" t="s">
        <v>113</v>
      </c>
      <c r="E12" s="12" t="s">
        <v>396</v>
      </c>
      <c r="F12" s="12" t="s">
        <v>392</v>
      </c>
      <c r="G12" s="12" t="s">
        <v>520</v>
      </c>
      <c r="H12" s="12" t="s">
        <v>497</v>
      </c>
      <c r="I12" s="12" t="n">
        <v>30</v>
      </c>
      <c r="J12" s="12" t="n">
        <v>6</v>
      </c>
      <c r="K12" s="12" t="s">
        <v>65</v>
      </c>
      <c r="L12" s="12" t="s">
        <v>498</v>
      </c>
      <c r="M12" s="13"/>
      <c r="N12" s="12"/>
      <c r="O12" s="12" t="s">
        <v>526</v>
      </c>
      <c r="P12" s="12" t="n">
        <v>2010</v>
      </c>
      <c r="Q12" s="12" t="s">
        <v>527</v>
      </c>
    </row>
    <row r="13" customFormat="false" ht="15" hidden="false" customHeight="false" outlineLevel="0" collapsed="false">
      <c r="A13" s="12" t="s">
        <v>528</v>
      </c>
      <c r="B13" s="12" t="s">
        <v>529</v>
      </c>
      <c r="C13" s="12" t="s">
        <v>354</v>
      </c>
      <c r="D13" s="12" t="s">
        <v>113</v>
      </c>
      <c r="E13" s="12" t="s">
        <v>414</v>
      </c>
      <c r="F13" s="12"/>
      <c r="G13" s="12" t="s">
        <v>512</v>
      </c>
      <c r="H13" s="12" t="s">
        <v>497</v>
      </c>
      <c r="I13" s="12" t="n">
        <v>30</v>
      </c>
      <c r="J13" s="12" t="n">
        <v>6</v>
      </c>
      <c r="K13" s="12" t="s">
        <v>65</v>
      </c>
      <c r="L13" s="12" t="s">
        <v>498</v>
      </c>
      <c r="M13" s="13"/>
      <c r="N13" s="12"/>
      <c r="O13" s="12" t="s">
        <v>530</v>
      </c>
      <c r="P13" s="12" t="n">
        <v>2010</v>
      </c>
      <c r="Q13" s="12"/>
    </row>
    <row r="14" customFormat="false" ht="15" hidden="false" customHeight="false" outlineLevel="0" collapsed="false">
      <c r="A14" s="12" t="s">
        <v>333</v>
      </c>
      <c r="B14" s="12" t="s">
        <v>334</v>
      </c>
      <c r="C14" s="12" t="s">
        <v>507</v>
      </c>
      <c r="D14" s="12" t="s">
        <v>116</v>
      </c>
      <c r="E14" s="12" t="s">
        <v>427</v>
      </c>
      <c r="F14" s="12"/>
      <c r="G14" s="12" t="s">
        <v>72</v>
      </c>
      <c r="H14" s="12" t="s">
        <v>497</v>
      </c>
      <c r="I14" s="12" t="n">
        <v>26</v>
      </c>
      <c r="J14" s="12" t="n">
        <v>5</v>
      </c>
      <c r="K14" s="12" t="s">
        <v>65</v>
      </c>
      <c r="L14" s="12" t="s">
        <v>498</v>
      </c>
      <c r="M14" s="13"/>
      <c r="N14" s="12" t="s">
        <v>329</v>
      </c>
      <c r="O14" s="12" t="s">
        <v>531</v>
      </c>
      <c r="P14" s="12" t="n">
        <v>2010</v>
      </c>
      <c r="Q14" s="12"/>
    </row>
    <row r="15" customFormat="false" ht="15" hidden="false" customHeight="false" outlineLevel="0" collapsed="false">
      <c r="A15" s="12" t="s">
        <v>532</v>
      </c>
      <c r="B15" s="12" t="s">
        <v>533</v>
      </c>
      <c r="C15" s="12" t="s">
        <v>354</v>
      </c>
      <c r="D15" s="12" t="s">
        <v>111</v>
      </c>
      <c r="E15" s="12" t="s">
        <v>412</v>
      </c>
      <c r="F15" s="12" t="s">
        <v>392</v>
      </c>
      <c r="G15" s="12" t="s">
        <v>63</v>
      </c>
      <c r="H15" s="12" t="s">
        <v>497</v>
      </c>
      <c r="I15" s="12" t="n">
        <v>30</v>
      </c>
      <c r="J15" s="12" t="n">
        <v>6</v>
      </c>
      <c r="K15" s="12" t="s">
        <v>65</v>
      </c>
      <c r="L15" s="12" t="s">
        <v>498</v>
      </c>
      <c r="M15" s="13"/>
      <c r="N15" s="12"/>
      <c r="O15" s="12" t="s">
        <v>534</v>
      </c>
      <c r="P15" s="12" t="n">
        <v>2010</v>
      </c>
      <c r="Q15" s="12"/>
    </row>
    <row r="16" customFormat="false" ht="15" hidden="false" customHeight="false" outlineLevel="0" collapsed="false">
      <c r="A16" s="12" t="s">
        <v>276</v>
      </c>
      <c r="B16" s="12" t="s">
        <v>277</v>
      </c>
      <c r="C16" s="12" t="s">
        <v>507</v>
      </c>
      <c r="D16" s="12" t="s">
        <v>113</v>
      </c>
      <c r="E16" s="12" t="s">
        <v>392</v>
      </c>
      <c r="F16" s="12"/>
      <c r="G16" s="12" t="s">
        <v>520</v>
      </c>
      <c r="H16" s="12" t="s">
        <v>497</v>
      </c>
      <c r="I16" s="12" t="n">
        <v>30</v>
      </c>
      <c r="J16" s="12" t="n">
        <v>6</v>
      </c>
      <c r="K16" s="12" t="s">
        <v>65</v>
      </c>
      <c r="L16" s="12" t="s">
        <v>498</v>
      </c>
      <c r="M16" s="13"/>
      <c r="N16" s="12" t="s">
        <v>274</v>
      </c>
      <c r="O16" s="12" t="s">
        <v>522</v>
      </c>
      <c r="P16" s="12" t="n">
        <v>2010</v>
      </c>
      <c r="Q16" s="12"/>
    </row>
    <row r="17" customFormat="false" ht="15" hidden="false" customHeight="false" outlineLevel="0" collapsed="false">
      <c r="A17" s="12" t="s">
        <v>535</v>
      </c>
      <c r="B17" s="12" t="s">
        <v>536</v>
      </c>
      <c r="C17" s="12" t="s">
        <v>354</v>
      </c>
      <c r="D17" s="12" t="s">
        <v>118</v>
      </c>
      <c r="E17" s="12" t="s">
        <v>468</v>
      </c>
      <c r="F17" s="12"/>
      <c r="G17" s="12" t="s">
        <v>517</v>
      </c>
      <c r="H17" s="12" t="s">
        <v>497</v>
      </c>
      <c r="I17" s="12" t="n">
        <v>30</v>
      </c>
      <c r="J17" s="12" t="n">
        <v>6</v>
      </c>
      <c r="K17" s="12" t="s">
        <v>65</v>
      </c>
      <c r="L17" s="12" t="s">
        <v>498</v>
      </c>
      <c r="M17" s="13"/>
      <c r="N17" s="12"/>
      <c r="O17" s="12" t="s">
        <v>518</v>
      </c>
      <c r="P17" s="12" t="n">
        <v>2010</v>
      </c>
      <c r="Q17" s="12"/>
    </row>
    <row r="18" customFormat="false" ht="15" hidden="false" customHeight="false" outlineLevel="0" collapsed="false">
      <c r="A18" s="12" t="s">
        <v>537</v>
      </c>
      <c r="B18" s="12" t="s">
        <v>538</v>
      </c>
      <c r="C18" s="12" t="s">
        <v>354</v>
      </c>
      <c r="D18" s="12" t="s">
        <v>116</v>
      </c>
      <c r="E18" s="12" t="s">
        <v>434</v>
      </c>
      <c r="F18" s="12"/>
      <c r="G18" s="12" t="s">
        <v>72</v>
      </c>
      <c r="H18" s="12" t="s">
        <v>539</v>
      </c>
      <c r="I18" s="12" t="n">
        <v>15</v>
      </c>
      <c r="J18" s="12" t="n">
        <v>5</v>
      </c>
      <c r="K18" s="12" t="s">
        <v>540</v>
      </c>
      <c r="L18" s="12" t="s">
        <v>498</v>
      </c>
      <c r="M18" s="13"/>
      <c r="N18" s="12"/>
      <c r="O18" s="12" t="s">
        <v>541</v>
      </c>
      <c r="P18" s="12" t="n">
        <v>2010</v>
      </c>
      <c r="Q18" s="12" t="s">
        <v>542</v>
      </c>
    </row>
    <row r="19" customFormat="false" ht="15" hidden="false" customHeight="false" outlineLevel="0" collapsed="false">
      <c r="A19" s="12" t="s">
        <v>269</v>
      </c>
      <c r="B19" s="12" t="s">
        <v>270</v>
      </c>
      <c r="C19" s="12" t="s">
        <v>354</v>
      </c>
      <c r="D19" s="12" t="s">
        <v>113</v>
      </c>
      <c r="E19" s="12" t="s">
        <v>412</v>
      </c>
      <c r="F19" s="12" t="s">
        <v>384</v>
      </c>
      <c r="G19" s="12" t="s">
        <v>520</v>
      </c>
      <c r="H19" s="12" t="s">
        <v>497</v>
      </c>
      <c r="I19" s="12" t="n">
        <v>30</v>
      </c>
      <c r="J19" s="12" t="n">
        <v>6</v>
      </c>
      <c r="K19" s="12" t="s">
        <v>65</v>
      </c>
      <c r="L19" s="12" t="s">
        <v>498</v>
      </c>
      <c r="M19" s="13"/>
      <c r="N19" s="12" t="s">
        <v>266</v>
      </c>
      <c r="O19" s="12" t="s">
        <v>521</v>
      </c>
      <c r="P19" s="12" t="n">
        <v>2010</v>
      </c>
      <c r="Q19" s="12"/>
    </row>
    <row r="20" customFormat="false" ht="15" hidden="false" customHeight="false" outlineLevel="0" collapsed="false">
      <c r="A20" s="12" t="s">
        <v>370</v>
      </c>
      <c r="B20" s="12" t="s">
        <v>371</v>
      </c>
      <c r="C20" s="12" t="s">
        <v>507</v>
      </c>
      <c r="D20" s="12" t="s">
        <v>116</v>
      </c>
      <c r="E20" s="12" t="s">
        <v>440</v>
      </c>
      <c r="F20" s="12"/>
      <c r="G20" s="12" t="s">
        <v>72</v>
      </c>
      <c r="H20" s="12" t="s">
        <v>497</v>
      </c>
      <c r="I20" s="12" t="n">
        <v>26</v>
      </c>
      <c r="J20" s="12" t="n">
        <v>5</v>
      </c>
      <c r="K20" s="12" t="s">
        <v>65</v>
      </c>
      <c r="L20" s="12" t="s">
        <v>498</v>
      </c>
      <c r="M20" s="13"/>
      <c r="N20" s="12" t="s">
        <v>368</v>
      </c>
      <c r="O20" s="12" t="s">
        <v>508</v>
      </c>
      <c r="P20" s="12" t="n">
        <v>2011</v>
      </c>
      <c r="Q20" s="12" t="s">
        <v>543</v>
      </c>
    </row>
    <row r="21" customFormat="false" ht="15" hidden="false" customHeight="false" outlineLevel="0" collapsed="false">
      <c r="A21" s="12" t="s">
        <v>544</v>
      </c>
      <c r="B21" s="12" t="s">
        <v>545</v>
      </c>
      <c r="C21" s="12" t="s">
        <v>507</v>
      </c>
      <c r="D21" s="12" t="s">
        <v>118</v>
      </c>
      <c r="E21" s="12" t="s">
        <v>468</v>
      </c>
      <c r="F21" s="12"/>
      <c r="G21" s="12" t="s">
        <v>517</v>
      </c>
      <c r="H21" s="12" t="s">
        <v>497</v>
      </c>
      <c r="I21" s="12" t="n">
        <v>30</v>
      </c>
      <c r="J21" s="12" t="n">
        <v>6</v>
      </c>
      <c r="K21" s="12" t="s">
        <v>65</v>
      </c>
      <c r="L21" s="12" t="s">
        <v>498</v>
      </c>
      <c r="M21" s="13"/>
      <c r="N21" s="12"/>
      <c r="O21" s="12" t="s">
        <v>546</v>
      </c>
      <c r="P21" s="12" t="n">
        <v>2011</v>
      </c>
      <c r="Q21" s="12"/>
    </row>
    <row r="22" customFormat="false" ht="15" hidden="false" customHeight="false" outlineLevel="0" collapsed="false">
      <c r="A22" s="12" t="s">
        <v>319</v>
      </c>
      <c r="B22" s="12" t="s">
        <v>320</v>
      </c>
      <c r="C22" s="12" t="s">
        <v>507</v>
      </c>
      <c r="D22" s="12" t="s">
        <v>113</v>
      </c>
      <c r="E22" s="12" t="s">
        <v>384</v>
      </c>
      <c r="F22" s="12"/>
      <c r="G22" s="12" t="s">
        <v>520</v>
      </c>
      <c r="H22" s="12" t="s">
        <v>497</v>
      </c>
      <c r="I22" s="12" t="n">
        <v>30</v>
      </c>
      <c r="J22" s="12" t="n">
        <v>6</v>
      </c>
      <c r="K22" s="12" t="s">
        <v>65</v>
      </c>
      <c r="L22" s="12" t="s">
        <v>498</v>
      </c>
      <c r="M22" s="13"/>
      <c r="N22" s="12" t="s">
        <v>317</v>
      </c>
      <c r="O22" s="12" t="s">
        <v>523</v>
      </c>
      <c r="P22" s="12" t="n">
        <v>2011</v>
      </c>
      <c r="Q22" s="12"/>
    </row>
    <row r="23" customFormat="false" ht="15" hidden="false" customHeight="false" outlineLevel="0" collapsed="false">
      <c r="A23" s="12" t="s">
        <v>547</v>
      </c>
      <c r="B23" s="12" t="s">
        <v>548</v>
      </c>
      <c r="C23" s="12" t="s">
        <v>354</v>
      </c>
      <c r="D23" s="12" t="s">
        <v>113</v>
      </c>
      <c r="E23" s="12" t="s">
        <v>414</v>
      </c>
      <c r="F23" s="12"/>
      <c r="G23" s="12" t="s">
        <v>512</v>
      </c>
      <c r="H23" s="12" t="s">
        <v>539</v>
      </c>
      <c r="I23" s="12" t="n">
        <v>15</v>
      </c>
      <c r="J23" s="12" t="n">
        <v>5</v>
      </c>
      <c r="K23" s="12" t="s">
        <v>540</v>
      </c>
      <c r="L23" s="12" t="s">
        <v>498</v>
      </c>
      <c r="M23" s="13"/>
      <c r="N23" s="12"/>
      <c r="O23" s="12" t="s">
        <v>513</v>
      </c>
      <c r="P23" s="12" t="n">
        <v>2011</v>
      </c>
      <c r="Q23" s="12" t="s">
        <v>549</v>
      </c>
    </row>
    <row r="24" customFormat="false" ht="15" hidden="false" customHeight="false" outlineLevel="0" collapsed="false">
      <c r="A24" s="12" t="s">
        <v>374</v>
      </c>
      <c r="B24" s="12" t="s">
        <v>375</v>
      </c>
      <c r="C24" s="12" t="s">
        <v>354</v>
      </c>
      <c r="D24" s="12" t="s">
        <v>116</v>
      </c>
      <c r="E24" s="12" t="s">
        <v>449</v>
      </c>
      <c r="F24" s="12" t="s">
        <v>446</v>
      </c>
      <c r="G24" s="12" t="s">
        <v>72</v>
      </c>
      <c r="H24" s="12" t="s">
        <v>497</v>
      </c>
      <c r="I24" s="12" t="n">
        <v>26</v>
      </c>
      <c r="J24" s="12" t="n">
        <v>5</v>
      </c>
      <c r="K24" s="12" t="s">
        <v>65</v>
      </c>
      <c r="L24" s="12" t="s">
        <v>498</v>
      </c>
      <c r="M24" s="13"/>
      <c r="N24" s="12" t="s">
        <v>372</v>
      </c>
      <c r="O24" s="12" t="s">
        <v>521</v>
      </c>
      <c r="P24" s="12" t="n">
        <v>2012</v>
      </c>
      <c r="Q24" s="12"/>
    </row>
    <row r="25" customFormat="false" ht="15" hidden="false" customHeight="false" outlineLevel="0" collapsed="false">
      <c r="A25" s="12" t="s">
        <v>182</v>
      </c>
      <c r="B25" s="12" t="s">
        <v>183</v>
      </c>
      <c r="C25" s="12" t="s">
        <v>354</v>
      </c>
      <c r="D25" s="12" t="s">
        <v>111</v>
      </c>
      <c r="E25" s="12" t="s">
        <v>400</v>
      </c>
      <c r="F25" s="12"/>
      <c r="G25" s="12" t="s">
        <v>63</v>
      </c>
      <c r="H25" s="12" t="s">
        <v>497</v>
      </c>
      <c r="I25" s="12" t="n">
        <v>30</v>
      </c>
      <c r="J25" s="12" t="n">
        <v>6</v>
      </c>
      <c r="K25" s="12" t="s">
        <v>65</v>
      </c>
      <c r="L25" s="12" t="s">
        <v>498</v>
      </c>
      <c r="M25" s="13"/>
      <c r="N25" s="12" t="s">
        <v>179</v>
      </c>
      <c r="O25" s="12" t="s">
        <v>550</v>
      </c>
      <c r="P25" s="12" t="n">
        <v>2012</v>
      </c>
      <c r="Q25" s="12"/>
    </row>
    <row r="26" customFormat="false" ht="15" hidden="false" customHeight="false" outlineLevel="0" collapsed="false">
      <c r="A26" s="12" t="s">
        <v>298</v>
      </c>
      <c r="B26" s="12" t="s">
        <v>299</v>
      </c>
      <c r="C26" s="12" t="s">
        <v>354</v>
      </c>
      <c r="D26" s="12" t="s">
        <v>113</v>
      </c>
      <c r="E26" s="12" t="s">
        <v>400</v>
      </c>
      <c r="F26" s="12" t="s">
        <v>414</v>
      </c>
      <c r="G26" s="12" t="s">
        <v>520</v>
      </c>
      <c r="H26" s="12" t="s">
        <v>497</v>
      </c>
      <c r="I26" s="12" t="n">
        <v>30</v>
      </c>
      <c r="J26" s="12" t="n">
        <v>6</v>
      </c>
      <c r="K26" s="12" t="s">
        <v>65</v>
      </c>
      <c r="L26" s="12" t="s">
        <v>498</v>
      </c>
      <c r="M26" s="13"/>
      <c r="N26" s="12" t="s">
        <v>295</v>
      </c>
      <c r="O26" s="12" t="s">
        <v>502</v>
      </c>
      <c r="P26" s="12" t="n">
        <v>2012</v>
      </c>
      <c r="Q26" s="12"/>
    </row>
    <row r="27" customFormat="false" ht="15" hidden="false" customHeight="false" outlineLevel="0" collapsed="false">
      <c r="A27" s="12" t="s">
        <v>551</v>
      </c>
      <c r="B27" s="12" t="s">
        <v>552</v>
      </c>
      <c r="C27" s="12" t="s">
        <v>507</v>
      </c>
      <c r="D27" s="12" t="s">
        <v>118</v>
      </c>
      <c r="E27" s="12" t="s">
        <v>468</v>
      </c>
      <c r="F27" s="12"/>
      <c r="G27" s="12" t="s">
        <v>517</v>
      </c>
      <c r="H27" s="12" t="s">
        <v>497</v>
      </c>
      <c r="I27" s="12" t="n">
        <v>30</v>
      </c>
      <c r="J27" s="12" t="n">
        <v>6</v>
      </c>
      <c r="K27" s="12" t="s">
        <v>65</v>
      </c>
      <c r="L27" s="12" t="s">
        <v>498</v>
      </c>
      <c r="M27" s="13"/>
      <c r="N27" s="12"/>
      <c r="O27" s="12" t="s">
        <v>546</v>
      </c>
      <c r="P27" s="12" t="n">
        <v>2012</v>
      </c>
      <c r="Q27" s="12"/>
    </row>
    <row r="28" customFormat="false" ht="15" hidden="false" customHeight="false" outlineLevel="0" collapsed="false">
      <c r="A28" s="12" t="s">
        <v>310</v>
      </c>
      <c r="B28" s="12" t="s">
        <v>311</v>
      </c>
      <c r="C28" s="12" t="s">
        <v>507</v>
      </c>
      <c r="D28" s="12" t="s">
        <v>113</v>
      </c>
      <c r="E28" s="12" t="s">
        <v>384</v>
      </c>
      <c r="F28" s="12"/>
      <c r="G28" s="12" t="s">
        <v>520</v>
      </c>
      <c r="H28" s="12" t="s">
        <v>497</v>
      </c>
      <c r="I28" s="12" t="n">
        <v>30</v>
      </c>
      <c r="J28" s="12" t="n">
        <v>6</v>
      </c>
      <c r="K28" s="12" t="s">
        <v>65</v>
      </c>
      <c r="L28" s="12" t="s">
        <v>498</v>
      </c>
      <c r="M28" s="13"/>
      <c r="N28" s="12" t="s">
        <v>308</v>
      </c>
      <c r="O28" s="12" t="s">
        <v>523</v>
      </c>
      <c r="P28" s="12" t="n">
        <v>2012</v>
      </c>
      <c r="Q28" s="12"/>
    </row>
    <row r="29" customFormat="false" ht="15" hidden="false" customHeight="false" outlineLevel="0" collapsed="false">
      <c r="A29" s="12" t="s">
        <v>315</v>
      </c>
      <c r="B29" s="12" t="s">
        <v>316</v>
      </c>
      <c r="C29" s="12" t="s">
        <v>354</v>
      </c>
      <c r="D29" s="12" t="s">
        <v>113</v>
      </c>
      <c r="E29" s="12" t="s">
        <v>392</v>
      </c>
      <c r="F29" s="12" t="s">
        <v>396</v>
      </c>
      <c r="G29" s="12" t="s">
        <v>520</v>
      </c>
      <c r="H29" s="12" t="s">
        <v>497</v>
      </c>
      <c r="I29" s="12" t="n">
        <v>30</v>
      </c>
      <c r="J29" s="12" t="n">
        <v>6</v>
      </c>
      <c r="K29" s="12" t="s">
        <v>65</v>
      </c>
      <c r="L29" s="12" t="s">
        <v>498</v>
      </c>
      <c r="M29" s="13"/>
      <c r="N29" s="12" t="s">
        <v>312</v>
      </c>
      <c r="O29" s="12" t="s">
        <v>522</v>
      </c>
      <c r="P29" s="12" t="n">
        <v>2012</v>
      </c>
      <c r="Q29" s="12"/>
    </row>
    <row r="30" customFormat="false" ht="15" hidden="false" customHeight="false" outlineLevel="0" collapsed="false">
      <c r="A30" s="12" t="s">
        <v>187</v>
      </c>
      <c r="B30" s="12" t="s">
        <v>188</v>
      </c>
      <c r="C30" s="12" t="s">
        <v>507</v>
      </c>
      <c r="D30" s="12" t="s">
        <v>111</v>
      </c>
      <c r="E30" s="12" t="s">
        <v>400</v>
      </c>
      <c r="F30" s="12" t="s">
        <v>414</v>
      </c>
      <c r="G30" s="12" t="s">
        <v>63</v>
      </c>
      <c r="H30" s="12" t="s">
        <v>497</v>
      </c>
      <c r="I30" s="12" t="n">
        <v>30</v>
      </c>
      <c r="J30" s="12" t="n">
        <v>6</v>
      </c>
      <c r="K30" s="12" t="s">
        <v>65</v>
      </c>
      <c r="L30" s="12" t="s">
        <v>498</v>
      </c>
      <c r="M30" s="13"/>
      <c r="N30" s="12" t="s">
        <v>184</v>
      </c>
      <c r="O30" s="12" t="s">
        <v>550</v>
      </c>
      <c r="P30" s="12" t="n">
        <v>2012</v>
      </c>
      <c r="Q30" s="12"/>
    </row>
    <row r="31" customFormat="false" ht="15" hidden="false" customHeight="false" outlineLevel="0" collapsed="false">
      <c r="A31" s="12" t="s">
        <v>264</v>
      </c>
      <c r="B31" s="12" t="s">
        <v>265</v>
      </c>
      <c r="C31" s="12" t="s">
        <v>507</v>
      </c>
      <c r="D31" s="12" t="s">
        <v>113</v>
      </c>
      <c r="E31" s="12" t="s">
        <v>400</v>
      </c>
      <c r="F31" s="12" t="s">
        <v>414</v>
      </c>
      <c r="G31" s="12" t="s">
        <v>520</v>
      </c>
      <c r="H31" s="12" t="s">
        <v>497</v>
      </c>
      <c r="I31" s="12" t="n">
        <v>30</v>
      </c>
      <c r="J31" s="12" t="n">
        <v>6</v>
      </c>
      <c r="K31" s="12" t="s">
        <v>65</v>
      </c>
      <c r="L31" s="12" t="s">
        <v>498</v>
      </c>
      <c r="M31" s="13"/>
      <c r="N31" s="12" t="s">
        <v>262</v>
      </c>
      <c r="O31" s="12" t="s">
        <v>502</v>
      </c>
      <c r="P31" s="12" t="n">
        <v>2012</v>
      </c>
      <c r="Q31" s="12"/>
    </row>
    <row r="32" customFormat="false" ht="15" hidden="false" customHeight="false" outlineLevel="0" collapsed="false">
      <c r="A32" s="12" t="s">
        <v>285</v>
      </c>
      <c r="B32" s="12" t="s">
        <v>286</v>
      </c>
      <c r="C32" s="12" t="s">
        <v>354</v>
      </c>
      <c r="D32" s="12" t="s">
        <v>113</v>
      </c>
      <c r="E32" s="12" t="s">
        <v>384</v>
      </c>
      <c r="F32" s="12" t="s">
        <v>412</v>
      </c>
      <c r="G32" s="12" t="s">
        <v>520</v>
      </c>
      <c r="H32" s="12" t="s">
        <v>497</v>
      </c>
      <c r="I32" s="12" t="n">
        <v>30</v>
      </c>
      <c r="J32" s="12" t="n">
        <v>6</v>
      </c>
      <c r="K32" s="12" t="s">
        <v>65</v>
      </c>
      <c r="L32" s="12" t="s">
        <v>498</v>
      </c>
      <c r="M32" s="13"/>
      <c r="N32" s="12" t="s">
        <v>282</v>
      </c>
      <c r="O32" s="12" t="s">
        <v>523</v>
      </c>
      <c r="P32" s="12" t="n">
        <v>2013</v>
      </c>
      <c r="Q32" s="12"/>
    </row>
    <row r="33" customFormat="false" ht="15" hidden="false" customHeight="false" outlineLevel="0" collapsed="false">
      <c r="A33" s="12" t="s">
        <v>338</v>
      </c>
      <c r="B33" s="12" t="s">
        <v>339</v>
      </c>
      <c r="C33" s="12" t="s">
        <v>507</v>
      </c>
      <c r="D33" s="12" t="s">
        <v>116</v>
      </c>
      <c r="E33" s="12" t="s">
        <v>430</v>
      </c>
      <c r="F33" s="12"/>
      <c r="G33" s="12" t="s">
        <v>72</v>
      </c>
      <c r="H33" s="12" t="s">
        <v>497</v>
      </c>
      <c r="I33" s="12" t="n">
        <v>26</v>
      </c>
      <c r="J33" s="12" t="n">
        <v>5</v>
      </c>
      <c r="K33" s="12" t="s">
        <v>65</v>
      </c>
      <c r="L33" s="12" t="s">
        <v>498</v>
      </c>
      <c r="M33" s="13"/>
      <c r="N33" s="12" t="s">
        <v>335</v>
      </c>
      <c r="O33" s="12" t="s">
        <v>553</v>
      </c>
      <c r="P33" s="12" t="n">
        <v>2013</v>
      </c>
      <c r="Q33" s="12" t="s">
        <v>554</v>
      </c>
    </row>
    <row r="34" customFormat="false" ht="15" hidden="false" customHeight="false" outlineLevel="0" collapsed="false">
      <c r="A34" s="12" t="s">
        <v>191</v>
      </c>
      <c r="B34" s="12" t="s">
        <v>192</v>
      </c>
      <c r="C34" s="12" t="s">
        <v>354</v>
      </c>
      <c r="D34" s="12" t="s">
        <v>111</v>
      </c>
      <c r="E34" s="12" t="s">
        <v>392</v>
      </c>
      <c r="F34" s="12" t="s">
        <v>384</v>
      </c>
      <c r="G34" s="12" t="s">
        <v>63</v>
      </c>
      <c r="H34" s="12" t="s">
        <v>497</v>
      </c>
      <c r="I34" s="12" t="n">
        <v>30</v>
      </c>
      <c r="J34" s="12" t="n">
        <v>6</v>
      </c>
      <c r="K34" s="12" t="s">
        <v>65</v>
      </c>
      <c r="L34" s="12" t="s">
        <v>498</v>
      </c>
      <c r="M34" s="13"/>
      <c r="N34" s="12" t="s">
        <v>189</v>
      </c>
      <c r="O34" s="12" t="s">
        <v>522</v>
      </c>
      <c r="P34" s="12" t="n">
        <v>2013</v>
      </c>
      <c r="Q34" s="12"/>
    </row>
    <row r="35" customFormat="false" ht="15" hidden="false" customHeight="false" outlineLevel="0" collapsed="false">
      <c r="A35" s="12" t="s">
        <v>555</v>
      </c>
      <c r="B35" s="12" t="s">
        <v>556</v>
      </c>
      <c r="C35" s="12" t="s">
        <v>507</v>
      </c>
      <c r="D35" s="12" t="s">
        <v>118</v>
      </c>
      <c r="E35" s="12" t="s">
        <v>453</v>
      </c>
      <c r="F35" s="12"/>
      <c r="G35" s="12" t="s">
        <v>557</v>
      </c>
      <c r="H35" s="12" t="s">
        <v>497</v>
      </c>
      <c r="I35" s="12" t="n">
        <v>30</v>
      </c>
      <c r="J35" s="12" t="n">
        <v>6</v>
      </c>
      <c r="K35" s="12" t="s">
        <v>65</v>
      </c>
      <c r="L35" s="12" t="s">
        <v>498</v>
      </c>
      <c r="M35" s="13"/>
      <c r="N35" s="12"/>
      <c r="O35" s="12" t="s">
        <v>558</v>
      </c>
      <c r="P35" s="12" t="n">
        <v>2013</v>
      </c>
      <c r="Q35" s="12"/>
    </row>
    <row r="36" customFormat="false" ht="15" hidden="false" customHeight="false" outlineLevel="0" collapsed="false">
      <c r="A36" s="12" t="s">
        <v>242</v>
      </c>
      <c r="B36" s="12" t="s">
        <v>243</v>
      </c>
      <c r="C36" s="12" t="s">
        <v>354</v>
      </c>
      <c r="D36" s="12" t="s">
        <v>111</v>
      </c>
      <c r="E36" s="12" t="s">
        <v>384</v>
      </c>
      <c r="F36" s="12"/>
      <c r="G36" s="12" t="s">
        <v>63</v>
      </c>
      <c r="H36" s="12" t="s">
        <v>497</v>
      </c>
      <c r="I36" s="12" t="n">
        <v>30</v>
      </c>
      <c r="J36" s="12" t="n">
        <v>6</v>
      </c>
      <c r="K36" s="12" t="s">
        <v>65</v>
      </c>
      <c r="L36" s="12" t="s">
        <v>498</v>
      </c>
      <c r="M36" s="13"/>
      <c r="N36" s="12" t="s">
        <v>240</v>
      </c>
      <c r="O36" s="12" t="s">
        <v>523</v>
      </c>
      <c r="P36" s="12" t="n">
        <v>2013</v>
      </c>
      <c r="Q36" s="12"/>
    </row>
    <row r="37" customFormat="false" ht="15" hidden="false" customHeight="false" outlineLevel="0" collapsed="false">
      <c r="A37" s="12" t="s">
        <v>362</v>
      </c>
      <c r="B37" s="12" t="s">
        <v>363</v>
      </c>
      <c r="C37" s="12" t="s">
        <v>507</v>
      </c>
      <c r="D37" s="12" t="s">
        <v>116</v>
      </c>
      <c r="E37" s="12" t="s">
        <v>384</v>
      </c>
      <c r="F37" s="12"/>
      <c r="G37" s="12" t="s">
        <v>72</v>
      </c>
      <c r="H37" s="12" t="s">
        <v>497</v>
      </c>
      <c r="I37" s="12" t="n">
        <v>26</v>
      </c>
      <c r="J37" s="12" t="n">
        <v>5</v>
      </c>
      <c r="K37" s="12" t="s">
        <v>65</v>
      </c>
      <c r="L37" s="12" t="s">
        <v>498</v>
      </c>
      <c r="M37" s="13"/>
      <c r="N37" s="12" t="s">
        <v>359</v>
      </c>
      <c r="O37" s="12" t="s">
        <v>523</v>
      </c>
      <c r="P37" s="12" t="n">
        <v>2014</v>
      </c>
      <c r="Q37" s="12"/>
    </row>
    <row r="38" customFormat="false" ht="15" hidden="false" customHeight="false" outlineLevel="0" collapsed="false">
      <c r="A38" s="12" t="s">
        <v>177</v>
      </c>
      <c r="B38" s="12" t="s">
        <v>178</v>
      </c>
      <c r="C38" s="12" t="s">
        <v>354</v>
      </c>
      <c r="D38" s="12" t="s">
        <v>111</v>
      </c>
      <c r="E38" s="12" t="s">
        <v>384</v>
      </c>
      <c r="F38" s="12" t="s">
        <v>392</v>
      </c>
      <c r="G38" s="12" t="s">
        <v>63</v>
      </c>
      <c r="H38" s="12" t="s">
        <v>497</v>
      </c>
      <c r="I38" s="12" t="n">
        <v>30</v>
      </c>
      <c r="J38" s="12" t="n">
        <v>6</v>
      </c>
      <c r="K38" s="12" t="s">
        <v>65</v>
      </c>
      <c r="L38" s="12" t="s">
        <v>498</v>
      </c>
      <c r="M38" s="13"/>
      <c r="N38" s="12" t="s">
        <v>175</v>
      </c>
      <c r="O38" s="12" t="s">
        <v>523</v>
      </c>
      <c r="P38" s="12" t="n">
        <v>2014</v>
      </c>
      <c r="Q38" s="12"/>
    </row>
    <row r="39" customFormat="false" ht="15" hidden="false" customHeight="false" outlineLevel="0" collapsed="false">
      <c r="A39" s="12" t="s">
        <v>169</v>
      </c>
      <c r="B39" s="12" t="s">
        <v>170</v>
      </c>
      <c r="C39" s="12" t="s">
        <v>354</v>
      </c>
      <c r="D39" s="12" t="s">
        <v>111</v>
      </c>
      <c r="E39" s="12" t="s">
        <v>404</v>
      </c>
      <c r="F39" s="12" t="s">
        <v>412</v>
      </c>
      <c r="G39" s="12" t="s">
        <v>63</v>
      </c>
      <c r="H39" s="12" t="s">
        <v>497</v>
      </c>
      <c r="I39" s="12" t="n">
        <v>30</v>
      </c>
      <c r="J39" s="12" t="n">
        <v>6</v>
      </c>
      <c r="K39" s="12" t="s">
        <v>65</v>
      </c>
      <c r="L39" s="12" t="s">
        <v>498</v>
      </c>
      <c r="M39" s="13"/>
      <c r="N39" s="12" t="s">
        <v>166</v>
      </c>
      <c r="O39" s="12" t="s">
        <v>559</v>
      </c>
      <c r="P39" s="12" t="n">
        <v>2014</v>
      </c>
      <c r="Q39" s="12"/>
    </row>
    <row r="40" customFormat="false" ht="15" hidden="false" customHeight="false" outlineLevel="0" collapsed="false">
      <c r="A40" s="12" t="s">
        <v>230</v>
      </c>
      <c r="B40" s="12" t="s">
        <v>231</v>
      </c>
      <c r="C40" s="12" t="s">
        <v>354</v>
      </c>
      <c r="D40" s="12" t="s">
        <v>111</v>
      </c>
      <c r="E40" s="12" t="s">
        <v>408</v>
      </c>
      <c r="F40" s="12" t="s">
        <v>404</v>
      </c>
      <c r="G40" s="12" t="s">
        <v>63</v>
      </c>
      <c r="H40" s="12" t="s">
        <v>497</v>
      </c>
      <c r="I40" s="12" t="n">
        <v>30</v>
      </c>
      <c r="J40" s="12" t="n">
        <v>6</v>
      </c>
      <c r="K40" s="12" t="s">
        <v>65</v>
      </c>
      <c r="L40" s="12" t="s">
        <v>498</v>
      </c>
      <c r="M40" s="13"/>
      <c r="N40" s="12" t="s">
        <v>227</v>
      </c>
      <c r="O40" s="12" t="s">
        <v>560</v>
      </c>
      <c r="P40" s="12" t="n">
        <v>2014</v>
      </c>
      <c r="Q40" s="12"/>
    </row>
    <row r="41" customFormat="false" ht="15" hidden="false" customHeight="false" outlineLevel="0" collapsed="false">
      <c r="A41" s="12" t="s">
        <v>561</v>
      </c>
      <c r="B41" s="12" t="s">
        <v>562</v>
      </c>
      <c r="C41" s="12" t="s">
        <v>507</v>
      </c>
      <c r="D41" s="12" t="s">
        <v>118</v>
      </c>
      <c r="E41" s="12" t="s">
        <v>458</v>
      </c>
      <c r="F41" s="12" t="s">
        <v>463</v>
      </c>
      <c r="G41" s="12" t="s">
        <v>563</v>
      </c>
      <c r="H41" s="12" t="s">
        <v>497</v>
      </c>
      <c r="I41" s="12" t="n">
        <v>30</v>
      </c>
      <c r="J41" s="12" t="n">
        <v>6</v>
      </c>
      <c r="K41" s="12" t="s">
        <v>65</v>
      </c>
      <c r="L41" s="12" t="s">
        <v>498</v>
      </c>
      <c r="M41" s="13"/>
      <c r="N41" s="12"/>
      <c r="O41" s="12" t="s">
        <v>564</v>
      </c>
      <c r="P41" s="12" t="n">
        <v>2014</v>
      </c>
      <c r="Q41" s="12"/>
    </row>
    <row r="42" customFormat="false" ht="15" hidden="false" customHeight="false" outlineLevel="0" collapsed="false">
      <c r="A42" s="12" t="s">
        <v>273</v>
      </c>
      <c r="B42" s="12" t="s">
        <v>178</v>
      </c>
      <c r="C42" s="12" t="s">
        <v>354</v>
      </c>
      <c r="D42" s="12" t="s">
        <v>113</v>
      </c>
      <c r="E42" s="12" t="s">
        <v>412</v>
      </c>
      <c r="F42" s="12" t="s">
        <v>392</v>
      </c>
      <c r="G42" s="12" t="s">
        <v>520</v>
      </c>
      <c r="H42" s="12" t="s">
        <v>497</v>
      </c>
      <c r="I42" s="12" t="n">
        <v>30</v>
      </c>
      <c r="J42" s="12" t="n">
        <v>6</v>
      </c>
      <c r="K42" s="12" t="s">
        <v>65</v>
      </c>
      <c r="L42" s="12" t="s">
        <v>498</v>
      </c>
      <c r="M42" s="13"/>
      <c r="N42" s="12" t="s">
        <v>271</v>
      </c>
      <c r="O42" s="12" t="s">
        <v>514</v>
      </c>
      <c r="P42" s="12" t="n">
        <v>2014</v>
      </c>
      <c r="Q42" s="12"/>
    </row>
    <row r="43" customFormat="false" ht="15" hidden="false" customHeight="false" outlineLevel="0" collapsed="false">
      <c r="A43" s="12" t="s">
        <v>195</v>
      </c>
      <c r="B43" s="12" t="s">
        <v>196</v>
      </c>
      <c r="C43" s="12" t="s">
        <v>354</v>
      </c>
      <c r="D43" s="12" t="s">
        <v>111</v>
      </c>
      <c r="E43" s="12" t="s">
        <v>404</v>
      </c>
      <c r="F43" s="12"/>
      <c r="G43" s="12" t="s">
        <v>63</v>
      </c>
      <c r="H43" s="12" t="s">
        <v>497</v>
      </c>
      <c r="I43" s="12" t="n">
        <v>30</v>
      </c>
      <c r="J43" s="12" t="n">
        <v>6</v>
      </c>
      <c r="K43" s="12" t="s">
        <v>65</v>
      </c>
      <c r="L43" s="12" t="s">
        <v>498</v>
      </c>
      <c r="M43" s="13"/>
      <c r="N43" s="12" t="s">
        <v>193</v>
      </c>
      <c r="O43" s="12" t="s">
        <v>559</v>
      </c>
      <c r="P43" s="12" t="n">
        <v>2014</v>
      </c>
      <c r="Q43" s="12"/>
    </row>
    <row r="44" customFormat="false" ht="15" hidden="false" customHeight="false" outlineLevel="0" collapsed="false">
      <c r="A44" s="12" t="s">
        <v>136</v>
      </c>
      <c r="B44" s="12" t="s">
        <v>137</v>
      </c>
      <c r="C44" s="12" t="s">
        <v>354</v>
      </c>
      <c r="D44" s="12" t="s">
        <v>108</v>
      </c>
      <c r="E44" s="12" t="s">
        <v>384</v>
      </c>
      <c r="F44" s="12" t="s">
        <v>476</v>
      </c>
      <c r="G44" s="12" t="s">
        <v>59</v>
      </c>
      <c r="H44" s="12" t="s">
        <v>497</v>
      </c>
      <c r="I44" s="12" t="n">
        <v>28</v>
      </c>
      <c r="J44" s="12" t="n">
        <v>6</v>
      </c>
      <c r="K44" s="12" t="s">
        <v>61</v>
      </c>
      <c r="L44" s="12" t="s">
        <v>498</v>
      </c>
      <c r="M44" s="13"/>
      <c r="N44" s="12" t="s">
        <v>131</v>
      </c>
      <c r="O44" s="12" t="s">
        <v>565</v>
      </c>
      <c r="P44" s="12" t="n">
        <v>2014</v>
      </c>
      <c r="Q44" s="12"/>
    </row>
    <row r="45" customFormat="false" ht="15" hidden="false" customHeight="false" outlineLevel="0" collapsed="false">
      <c r="A45" s="12" t="s">
        <v>566</v>
      </c>
      <c r="B45" s="12" t="s">
        <v>567</v>
      </c>
      <c r="C45" s="12" t="s">
        <v>354</v>
      </c>
      <c r="D45" s="12" t="s">
        <v>113</v>
      </c>
      <c r="E45" s="12" t="s">
        <v>392</v>
      </c>
      <c r="F45" s="12" t="s">
        <v>396</v>
      </c>
      <c r="G45" s="12" t="s">
        <v>520</v>
      </c>
      <c r="H45" s="12" t="s">
        <v>497</v>
      </c>
      <c r="I45" s="12" t="n">
        <v>30</v>
      </c>
      <c r="J45" s="12" t="n">
        <v>6</v>
      </c>
      <c r="K45" s="12" t="s">
        <v>65</v>
      </c>
      <c r="L45" s="12" t="s">
        <v>498</v>
      </c>
      <c r="M45" s="13"/>
      <c r="N45" s="12"/>
      <c r="O45" s="12" t="s">
        <v>522</v>
      </c>
      <c r="P45" s="12" t="n">
        <v>2015</v>
      </c>
      <c r="Q45" s="12"/>
    </row>
    <row r="46" customFormat="false" ht="15" hidden="false" customHeight="false" outlineLevel="0" collapsed="false">
      <c r="A46" s="12" t="s">
        <v>568</v>
      </c>
      <c r="B46" s="12" t="s">
        <v>569</v>
      </c>
      <c r="C46" s="12" t="s">
        <v>507</v>
      </c>
      <c r="D46" s="12" t="s">
        <v>113</v>
      </c>
      <c r="E46" s="12" t="s">
        <v>392</v>
      </c>
      <c r="F46" s="12" t="s">
        <v>384</v>
      </c>
      <c r="G46" s="12" t="s">
        <v>520</v>
      </c>
      <c r="H46" s="12" t="s">
        <v>497</v>
      </c>
      <c r="I46" s="12" t="n">
        <v>30</v>
      </c>
      <c r="J46" s="12" t="n">
        <v>6</v>
      </c>
      <c r="K46" s="12" t="s">
        <v>65</v>
      </c>
      <c r="L46" s="12" t="s">
        <v>498</v>
      </c>
      <c r="M46" s="13"/>
      <c r="N46" s="12"/>
      <c r="O46" s="12" t="s">
        <v>522</v>
      </c>
      <c r="P46" s="12" t="n">
        <v>2016</v>
      </c>
      <c r="Q46" s="12"/>
    </row>
    <row r="47" customFormat="false" ht="15" hidden="false" customHeight="false" outlineLevel="0" collapsed="false">
      <c r="A47" s="12" t="s">
        <v>570</v>
      </c>
      <c r="B47" s="12" t="s">
        <v>571</v>
      </c>
      <c r="C47" s="12" t="s">
        <v>354</v>
      </c>
      <c r="D47" s="12" t="s">
        <v>116</v>
      </c>
      <c r="E47" s="12" t="s">
        <v>384</v>
      </c>
      <c r="F47" s="12"/>
      <c r="G47" s="12" t="s">
        <v>72</v>
      </c>
      <c r="H47" s="12" t="s">
        <v>497</v>
      </c>
      <c r="I47" s="12" t="n">
        <v>26</v>
      </c>
      <c r="J47" s="12" t="n">
        <v>5</v>
      </c>
      <c r="K47" s="12" t="s">
        <v>65</v>
      </c>
      <c r="L47" s="12" t="s">
        <v>498</v>
      </c>
      <c r="M47" s="13"/>
      <c r="N47" s="12"/>
      <c r="O47" s="12" t="s">
        <v>523</v>
      </c>
      <c r="P47" s="12" t="n">
        <v>2016</v>
      </c>
      <c r="Q47" s="12"/>
    </row>
    <row r="48" customFormat="false" ht="15" hidden="false" customHeight="false" outlineLevel="0" collapsed="false">
      <c r="A48" s="12" t="s">
        <v>366</v>
      </c>
      <c r="B48" s="12" t="s">
        <v>367</v>
      </c>
      <c r="C48" s="12" t="s">
        <v>507</v>
      </c>
      <c r="D48" s="12" t="s">
        <v>116</v>
      </c>
      <c r="E48" s="12" t="s">
        <v>427</v>
      </c>
      <c r="F48" s="12"/>
      <c r="G48" s="12" t="s">
        <v>572</v>
      </c>
      <c r="H48" s="12" t="s">
        <v>497</v>
      </c>
      <c r="I48" s="12" t="n">
        <v>26</v>
      </c>
      <c r="J48" s="12" t="n">
        <v>5</v>
      </c>
      <c r="K48" s="12" t="s">
        <v>65</v>
      </c>
      <c r="L48" s="12" t="s">
        <v>498</v>
      </c>
      <c r="M48" s="13"/>
      <c r="N48" s="12" t="s">
        <v>364</v>
      </c>
      <c r="O48" s="12" t="s">
        <v>531</v>
      </c>
      <c r="P48" s="12" t="n">
        <v>2016</v>
      </c>
      <c r="Q48" s="12" t="s">
        <v>573</v>
      </c>
    </row>
    <row r="49" customFormat="false" ht="15" hidden="false" customHeight="false" outlineLevel="0" collapsed="false">
      <c r="A49" s="12" t="s">
        <v>217</v>
      </c>
      <c r="B49" s="12" t="s">
        <v>218</v>
      </c>
      <c r="C49" s="12" t="s">
        <v>354</v>
      </c>
      <c r="D49" s="12" t="s">
        <v>111</v>
      </c>
      <c r="E49" s="12" t="s">
        <v>400</v>
      </c>
      <c r="F49" s="12"/>
      <c r="G49" s="12" t="s">
        <v>63</v>
      </c>
      <c r="H49" s="12" t="s">
        <v>497</v>
      </c>
      <c r="I49" s="12" t="n">
        <v>30</v>
      </c>
      <c r="J49" s="12" t="n">
        <v>6</v>
      </c>
      <c r="K49" s="12" t="s">
        <v>65</v>
      </c>
      <c r="L49" s="12" t="s">
        <v>498</v>
      </c>
      <c r="M49" s="13"/>
      <c r="N49" s="12" t="s">
        <v>214</v>
      </c>
      <c r="O49" s="12" t="s">
        <v>574</v>
      </c>
      <c r="P49" s="12" t="n">
        <v>2016</v>
      </c>
      <c r="Q49" s="12"/>
    </row>
    <row r="50" customFormat="false" ht="15" hidden="false" customHeight="false" outlineLevel="0" collapsed="false">
      <c r="A50" s="12" t="s">
        <v>575</v>
      </c>
      <c r="B50" s="12" t="s">
        <v>576</v>
      </c>
      <c r="C50" s="12" t="s">
        <v>354</v>
      </c>
      <c r="D50" s="12" t="s">
        <v>113</v>
      </c>
      <c r="E50" s="12" t="s">
        <v>412</v>
      </c>
      <c r="F50" s="12"/>
      <c r="G50" s="12" t="s">
        <v>520</v>
      </c>
      <c r="H50" s="12" t="s">
        <v>497</v>
      </c>
      <c r="I50" s="12" t="n">
        <v>30</v>
      </c>
      <c r="J50" s="12" t="n">
        <v>6</v>
      </c>
      <c r="K50" s="12" t="s">
        <v>65</v>
      </c>
      <c r="L50" s="12" t="s">
        <v>498</v>
      </c>
      <c r="M50" s="13"/>
      <c r="N50" s="12"/>
      <c r="O50" s="12" t="s">
        <v>521</v>
      </c>
      <c r="P50" s="12" t="n">
        <v>2017</v>
      </c>
      <c r="Q50" s="12"/>
    </row>
    <row r="51" customFormat="false" ht="15" hidden="false" customHeight="false" outlineLevel="0" collapsed="false">
      <c r="A51" s="12" t="s">
        <v>577</v>
      </c>
      <c r="B51" s="12" t="s">
        <v>578</v>
      </c>
      <c r="C51" s="12" t="s">
        <v>354</v>
      </c>
      <c r="D51" s="12" t="s">
        <v>118</v>
      </c>
      <c r="E51" s="12" t="s">
        <v>472</v>
      </c>
      <c r="F51" s="12"/>
      <c r="G51" s="12" t="s">
        <v>579</v>
      </c>
      <c r="H51" s="12" t="s">
        <v>497</v>
      </c>
      <c r="I51" s="12" t="n">
        <v>30</v>
      </c>
      <c r="J51" s="12" t="n">
        <v>6</v>
      </c>
      <c r="K51" s="12" t="s">
        <v>65</v>
      </c>
      <c r="L51" s="12" t="s">
        <v>498</v>
      </c>
      <c r="M51" s="13"/>
      <c r="N51" s="12"/>
      <c r="O51" s="12" t="s">
        <v>580</v>
      </c>
      <c r="P51" s="12" t="n">
        <v>2017</v>
      </c>
      <c r="Q51" s="12" t="s">
        <v>581</v>
      </c>
    </row>
    <row r="52" customFormat="false" ht="15" hidden="false" customHeight="false" outlineLevel="0" collapsed="false">
      <c r="A52" s="12" t="s">
        <v>256</v>
      </c>
      <c r="B52" s="12" t="s">
        <v>257</v>
      </c>
      <c r="C52" s="12" t="s">
        <v>354</v>
      </c>
      <c r="D52" s="12" t="s">
        <v>113</v>
      </c>
      <c r="E52" s="12" t="s">
        <v>408</v>
      </c>
      <c r="F52" s="12"/>
      <c r="G52" s="12" t="s">
        <v>520</v>
      </c>
      <c r="H52" s="12" t="s">
        <v>497</v>
      </c>
      <c r="I52" s="12" t="n">
        <v>30</v>
      </c>
      <c r="J52" s="12" t="n">
        <v>6</v>
      </c>
      <c r="K52" s="12" t="s">
        <v>65</v>
      </c>
      <c r="L52" s="12" t="s">
        <v>498</v>
      </c>
      <c r="M52" s="13"/>
      <c r="N52" s="12" t="s">
        <v>254</v>
      </c>
      <c r="O52" s="12" t="s">
        <v>582</v>
      </c>
      <c r="P52" s="12" t="n">
        <v>2017</v>
      </c>
      <c r="Q52" s="12"/>
    </row>
    <row r="53" customFormat="false" ht="15" hidden="false" customHeight="false" outlineLevel="0" collapsed="false">
      <c r="A53" s="12" t="s">
        <v>583</v>
      </c>
      <c r="B53" s="12" t="s">
        <v>584</v>
      </c>
      <c r="C53" s="12" t="s">
        <v>507</v>
      </c>
      <c r="D53" s="12" t="s">
        <v>118</v>
      </c>
      <c r="E53" s="12" t="s">
        <v>453</v>
      </c>
      <c r="F53" s="12"/>
      <c r="G53" s="12" t="s">
        <v>557</v>
      </c>
      <c r="H53" s="12" t="s">
        <v>497</v>
      </c>
      <c r="I53" s="12" t="n">
        <v>30</v>
      </c>
      <c r="J53" s="12" t="n">
        <v>6</v>
      </c>
      <c r="K53" s="12" t="s">
        <v>65</v>
      </c>
      <c r="L53" s="12" t="s">
        <v>498</v>
      </c>
      <c r="M53" s="13"/>
      <c r="N53" s="12"/>
      <c r="O53" s="12" t="s">
        <v>558</v>
      </c>
      <c r="P53" s="12" t="n">
        <v>2017</v>
      </c>
      <c r="Q53" s="12"/>
    </row>
    <row r="54" customFormat="false" ht="15" hidden="false" customHeight="false" outlineLevel="0" collapsed="false">
      <c r="A54" s="12" t="s">
        <v>327</v>
      </c>
      <c r="B54" s="12" t="s">
        <v>328</v>
      </c>
      <c r="C54" s="12" t="s">
        <v>354</v>
      </c>
      <c r="D54" s="12" t="s">
        <v>113</v>
      </c>
      <c r="E54" s="12" t="s">
        <v>408</v>
      </c>
      <c r="F54" s="12"/>
      <c r="G54" s="12" t="s">
        <v>520</v>
      </c>
      <c r="H54" s="12" t="s">
        <v>497</v>
      </c>
      <c r="I54" s="12" t="n">
        <v>30</v>
      </c>
      <c r="J54" s="12" t="n">
        <v>6</v>
      </c>
      <c r="K54" s="12" t="s">
        <v>65</v>
      </c>
      <c r="L54" s="12" t="s">
        <v>498</v>
      </c>
      <c r="M54" s="13"/>
      <c r="N54" s="12" t="s">
        <v>325</v>
      </c>
      <c r="O54" s="12" t="s">
        <v>560</v>
      </c>
      <c r="P54" s="12" t="n">
        <v>2017</v>
      </c>
      <c r="Q54" s="12"/>
    </row>
    <row r="55" customFormat="false" ht="15" hidden="false" customHeight="false" outlineLevel="0" collapsed="false">
      <c r="A55" s="12" t="s">
        <v>141</v>
      </c>
      <c r="B55" s="12" t="s">
        <v>142</v>
      </c>
      <c r="C55" s="12" t="s">
        <v>354</v>
      </c>
      <c r="D55" s="12" t="s">
        <v>108</v>
      </c>
      <c r="E55" s="12" t="s">
        <v>400</v>
      </c>
      <c r="F55" s="12" t="s">
        <v>404</v>
      </c>
      <c r="G55" s="12" t="s">
        <v>59</v>
      </c>
      <c r="H55" s="12" t="s">
        <v>497</v>
      </c>
      <c r="I55" s="12" t="n">
        <v>28</v>
      </c>
      <c r="J55" s="12" t="n">
        <v>6</v>
      </c>
      <c r="K55" s="12" t="s">
        <v>61</v>
      </c>
      <c r="L55" s="12" t="s">
        <v>498</v>
      </c>
      <c r="M55" s="13"/>
      <c r="N55" s="12" t="s">
        <v>138</v>
      </c>
      <c r="O55" s="12" t="s">
        <v>565</v>
      </c>
      <c r="P55" s="12" t="n">
        <v>2017</v>
      </c>
      <c r="Q55" s="12"/>
    </row>
    <row r="56" customFormat="false" ht="15" hidden="false" customHeight="false" outlineLevel="0" collapsed="false">
      <c r="A56" s="12" t="s">
        <v>280</v>
      </c>
      <c r="B56" s="12" t="s">
        <v>281</v>
      </c>
      <c r="C56" s="12" t="s">
        <v>354</v>
      </c>
      <c r="D56" s="12" t="s">
        <v>113</v>
      </c>
      <c r="E56" s="12" t="s">
        <v>408</v>
      </c>
      <c r="F56" s="12"/>
      <c r="G56" s="12" t="s">
        <v>520</v>
      </c>
      <c r="H56" s="12" t="s">
        <v>497</v>
      </c>
      <c r="I56" s="12" t="n">
        <v>30</v>
      </c>
      <c r="J56" s="12" t="n">
        <v>6</v>
      </c>
      <c r="K56" s="12" t="s">
        <v>65</v>
      </c>
      <c r="L56" s="12" t="s">
        <v>498</v>
      </c>
      <c r="M56" s="13"/>
      <c r="N56" s="12" t="s">
        <v>278</v>
      </c>
      <c r="O56" s="12" t="s">
        <v>582</v>
      </c>
      <c r="P56" s="12" t="n">
        <v>2018</v>
      </c>
      <c r="Q56" s="12"/>
    </row>
    <row r="57" customFormat="false" ht="15" hidden="false" customHeight="false" outlineLevel="0" collapsed="false">
      <c r="A57" s="12" t="s">
        <v>225</v>
      </c>
      <c r="B57" s="12" t="s">
        <v>226</v>
      </c>
      <c r="C57" s="12" t="s">
        <v>354</v>
      </c>
      <c r="D57" s="12" t="s">
        <v>111</v>
      </c>
      <c r="E57" s="12" t="s">
        <v>384</v>
      </c>
      <c r="F57" s="12" t="s">
        <v>412</v>
      </c>
      <c r="G57" s="12" t="s">
        <v>63</v>
      </c>
      <c r="H57" s="12" t="s">
        <v>497</v>
      </c>
      <c r="I57" s="12" t="n">
        <v>30</v>
      </c>
      <c r="J57" s="12" t="n">
        <v>6</v>
      </c>
      <c r="K57" s="12" t="s">
        <v>65</v>
      </c>
      <c r="L57" s="12" t="s">
        <v>498</v>
      </c>
      <c r="M57" s="13"/>
      <c r="N57" s="12" t="s">
        <v>223</v>
      </c>
      <c r="O57" s="12" t="s">
        <v>523</v>
      </c>
      <c r="P57" s="12" t="n">
        <v>2018</v>
      </c>
      <c r="Q57" s="12"/>
    </row>
    <row r="58" customFormat="false" ht="15" hidden="false" customHeight="false" outlineLevel="0" collapsed="false">
      <c r="A58" s="12" t="s">
        <v>212</v>
      </c>
      <c r="B58" s="12" t="s">
        <v>213</v>
      </c>
      <c r="C58" s="12" t="s">
        <v>354</v>
      </c>
      <c r="D58" s="12" t="s">
        <v>111</v>
      </c>
      <c r="E58" s="12" t="s">
        <v>400</v>
      </c>
      <c r="F58" s="12" t="s">
        <v>408</v>
      </c>
      <c r="G58" s="12" t="s">
        <v>63</v>
      </c>
      <c r="H58" s="12" t="s">
        <v>497</v>
      </c>
      <c r="I58" s="12" t="n">
        <v>30</v>
      </c>
      <c r="J58" s="12" t="n">
        <v>6</v>
      </c>
      <c r="K58" s="12" t="s">
        <v>65</v>
      </c>
      <c r="L58" s="12" t="s">
        <v>498</v>
      </c>
      <c r="M58" s="13"/>
      <c r="N58" s="12" t="s">
        <v>210</v>
      </c>
      <c r="O58" s="12" t="s">
        <v>574</v>
      </c>
      <c r="P58" s="12" t="n">
        <v>2018</v>
      </c>
      <c r="Q58" s="12"/>
    </row>
    <row r="59" customFormat="false" ht="15" hidden="false" customHeight="false" outlineLevel="0" collapsed="false">
      <c r="A59" s="12" t="s">
        <v>247</v>
      </c>
      <c r="B59" s="12" t="s">
        <v>248</v>
      </c>
      <c r="C59" s="12" t="s">
        <v>354</v>
      </c>
      <c r="D59" s="12" t="s">
        <v>111</v>
      </c>
      <c r="E59" s="12" t="s">
        <v>384</v>
      </c>
      <c r="F59" s="12" t="s">
        <v>392</v>
      </c>
      <c r="G59" s="12" t="s">
        <v>63</v>
      </c>
      <c r="H59" s="12" t="s">
        <v>497</v>
      </c>
      <c r="I59" s="12" t="n">
        <v>30</v>
      </c>
      <c r="J59" s="12" t="n">
        <v>6</v>
      </c>
      <c r="K59" s="12" t="s">
        <v>65</v>
      </c>
      <c r="L59" s="12" t="s">
        <v>498</v>
      </c>
      <c r="M59" s="13"/>
      <c r="N59" s="12" t="s">
        <v>244</v>
      </c>
      <c r="O59" s="12" t="s">
        <v>585</v>
      </c>
      <c r="P59" s="12" t="n">
        <v>2018</v>
      </c>
      <c r="Q59" s="12"/>
    </row>
    <row r="60" customFormat="false" ht="15" hidden="false" customHeight="false" outlineLevel="0" collapsed="false">
      <c r="A60" s="12" t="s">
        <v>586</v>
      </c>
      <c r="B60" s="12" t="s">
        <v>587</v>
      </c>
      <c r="C60" s="12" t="s">
        <v>354</v>
      </c>
      <c r="D60" s="12" t="s">
        <v>111</v>
      </c>
      <c r="E60" s="12" t="s">
        <v>392</v>
      </c>
      <c r="F60" s="12"/>
      <c r="G60" s="12" t="s">
        <v>63</v>
      </c>
      <c r="H60" s="12" t="s">
        <v>497</v>
      </c>
      <c r="I60" s="12" t="n">
        <v>30</v>
      </c>
      <c r="J60" s="12" t="n">
        <v>6</v>
      </c>
      <c r="K60" s="12" t="s">
        <v>65</v>
      </c>
      <c r="L60" s="12" t="s">
        <v>498</v>
      </c>
      <c r="M60" s="13" t="n">
        <v>46356</v>
      </c>
      <c r="N60" s="12"/>
      <c r="O60" s="12" t="s">
        <v>522</v>
      </c>
      <c r="P60" s="12" t="n">
        <v>2018</v>
      </c>
      <c r="Q60" s="12" t="s">
        <v>588</v>
      </c>
    </row>
    <row r="61" customFormat="false" ht="15" hidden="false" customHeight="false" outlineLevel="0" collapsed="false">
      <c r="A61" s="12" t="s">
        <v>589</v>
      </c>
      <c r="B61" s="12" t="s">
        <v>590</v>
      </c>
      <c r="C61" s="12" t="s">
        <v>507</v>
      </c>
      <c r="D61" s="12" t="s">
        <v>113</v>
      </c>
      <c r="E61" s="12" t="s">
        <v>412</v>
      </c>
      <c r="F61" s="12"/>
      <c r="G61" s="12" t="s">
        <v>520</v>
      </c>
      <c r="H61" s="12" t="s">
        <v>497</v>
      </c>
      <c r="I61" s="12" t="n">
        <v>30</v>
      </c>
      <c r="J61" s="12" t="n">
        <v>6</v>
      </c>
      <c r="K61" s="12" t="s">
        <v>65</v>
      </c>
      <c r="L61" s="12" t="s">
        <v>498</v>
      </c>
      <c r="M61" s="13"/>
      <c r="N61" s="12"/>
      <c r="O61" s="12" t="s">
        <v>514</v>
      </c>
      <c r="P61" s="12" t="n">
        <v>2018</v>
      </c>
      <c r="Q61" s="12"/>
    </row>
    <row r="62" customFormat="false" ht="15" hidden="false" customHeight="false" outlineLevel="0" collapsed="false">
      <c r="A62" s="12" t="s">
        <v>591</v>
      </c>
      <c r="B62" s="12" t="s">
        <v>592</v>
      </c>
      <c r="C62" s="12" t="s">
        <v>507</v>
      </c>
      <c r="D62" s="12" t="s">
        <v>118</v>
      </c>
      <c r="E62" s="12" t="s">
        <v>468</v>
      </c>
      <c r="F62" s="12"/>
      <c r="G62" s="12" t="s">
        <v>517</v>
      </c>
      <c r="H62" s="12" t="s">
        <v>497</v>
      </c>
      <c r="I62" s="12" t="n">
        <v>30</v>
      </c>
      <c r="J62" s="12" t="n">
        <v>6</v>
      </c>
      <c r="K62" s="12" t="s">
        <v>65</v>
      </c>
      <c r="L62" s="12" t="s">
        <v>498</v>
      </c>
      <c r="M62" s="13"/>
      <c r="N62" s="12"/>
      <c r="O62" s="12" t="s">
        <v>518</v>
      </c>
      <c r="P62" s="12" t="n">
        <v>2018</v>
      </c>
      <c r="Q62" s="12"/>
    </row>
    <row r="63" customFormat="false" ht="15" hidden="false" customHeight="false" outlineLevel="0" collapsed="false">
      <c r="A63" s="12" t="s">
        <v>593</v>
      </c>
      <c r="B63" s="12" t="s">
        <v>594</v>
      </c>
      <c r="C63" s="12" t="s">
        <v>507</v>
      </c>
      <c r="D63" s="12" t="s">
        <v>116</v>
      </c>
      <c r="E63" s="12" t="s">
        <v>446</v>
      </c>
      <c r="F63" s="12" t="s">
        <v>451</v>
      </c>
      <c r="G63" s="12" t="s">
        <v>72</v>
      </c>
      <c r="H63" s="12" t="s">
        <v>497</v>
      </c>
      <c r="I63" s="12" t="n">
        <v>26</v>
      </c>
      <c r="J63" s="12" t="n">
        <v>5</v>
      </c>
      <c r="K63" s="12" t="s">
        <v>65</v>
      </c>
      <c r="L63" s="12" t="s">
        <v>498</v>
      </c>
      <c r="M63" s="13"/>
      <c r="N63" s="12"/>
      <c r="O63" s="12" t="s">
        <v>514</v>
      </c>
      <c r="P63" s="12" t="n">
        <v>2019</v>
      </c>
      <c r="Q63" s="12"/>
    </row>
    <row r="64" customFormat="false" ht="15" hidden="false" customHeight="false" outlineLevel="0" collapsed="false">
      <c r="A64" s="12" t="s">
        <v>595</v>
      </c>
      <c r="B64" s="12" t="s">
        <v>596</v>
      </c>
      <c r="C64" s="12" t="s">
        <v>354</v>
      </c>
      <c r="D64" s="12" t="s">
        <v>118</v>
      </c>
      <c r="E64" s="12" t="s">
        <v>468</v>
      </c>
      <c r="F64" s="12"/>
      <c r="G64" s="12" t="s">
        <v>517</v>
      </c>
      <c r="H64" s="12" t="s">
        <v>497</v>
      </c>
      <c r="I64" s="12" t="n">
        <v>30</v>
      </c>
      <c r="J64" s="12" t="n">
        <v>6</v>
      </c>
      <c r="K64" s="12" t="s">
        <v>65</v>
      </c>
      <c r="L64" s="12" t="s">
        <v>498</v>
      </c>
      <c r="M64" s="13"/>
      <c r="N64" s="12"/>
      <c r="O64" s="12" t="s">
        <v>518</v>
      </c>
      <c r="P64" s="12" t="n">
        <v>2019</v>
      </c>
      <c r="Q64" s="12"/>
    </row>
    <row r="65" customFormat="false" ht="15" hidden="false" customHeight="false" outlineLevel="0" collapsed="false">
      <c r="A65" s="12" t="s">
        <v>146</v>
      </c>
      <c r="B65" s="12" t="s">
        <v>147</v>
      </c>
      <c r="C65" s="12" t="s">
        <v>354</v>
      </c>
      <c r="D65" s="12" t="s">
        <v>108</v>
      </c>
      <c r="E65" s="12" t="s">
        <v>392</v>
      </c>
      <c r="F65" s="12"/>
      <c r="G65" s="12" t="s">
        <v>59</v>
      </c>
      <c r="H65" s="12" t="s">
        <v>497</v>
      </c>
      <c r="I65" s="12" t="n">
        <v>28</v>
      </c>
      <c r="J65" s="12" t="n">
        <v>6</v>
      </c>
      <c r="K65" s="12" t="s">
        <v>61</v>
      </c>
      <c r="L65" s="12" t="s">
        <v>498</v>
      </c>
      <c r="M65" s="13"/>
      <c r="N65" s="12" t="s">
        <v>143</v>
      </c>
      <c r="O65" s="12" t="s">
        <v>565</v>
      </c>
      <c r="P65" s="12" t="n">
        <v>2019</v>
      </c>
      <c r="Q65" s="12"/>
    </row>
    <row r="66" customFormat="false" ht="15" hidden="false" customHeight="false" outlineLevel="0" collapsed="false">
      <c r="A66" s="12" t="s">
        <v>597</v>
      </c>
      <c r="B66" s="12" t="s">
        <v>598</v>
      </c>
      <c r="C66" s="12" t="s">
        <v>354</v>
      </c>
      <c r="D66" s="12" t="s">
        <v>111</v>
      </c>
      <c r="E66" s="12" t="s">
        <v>412</v>
      </c>
      <c r="F66" s="12" t="s">
        <v>404</v>
      </c>
      <c r="G66" s="12" t="s">
        <v>63</v>
      </c>
      <c r="H66" s="12" t="s">
        <v>497</v>
      </c>
      <c r="I66" s="12" t="n">
        <v>30</v>
      </c>
      <c r="J66" s="12" t="n">
        <v>6</v>
      </c>
      <c r="K66" s="12" t="s">
        <v>65</v>
      </c>
      <c r="L66" s="12" t="s">
        <v>498</v>
      </c>
      <c r="M66" s="13"/>
      <c r="N66" s="12"/>
      <c r="O66" s="12" t="s">
        <v>599</v>
      </c>
      <c r="P66" s="12" t="n">
        <v>2019</v>
      </c>
      <c r="Q66" s="12"/>
    </row>
    <row r="67" customFormat="false" ht="15" hidden="false" customHeight="false" outlineLevel="0" collapsed="false">
      <c r="A67" s="12" t="s">
        <v>600</v>
      </c>
      <c r="B67" s="12" t="s">
        <v>601</v>
      </c>
      <c r="C67" s="12" t="s">
        <v>354</v>
      </c>
      <c r="D67" s="12" t="s">
        <v>118</v>
      </c>
      <c r="E67" s="12" t="s">
        <v>453</v>
      </c>
      <c r="F67" s="12"/>
      <c r="G67" s="12" t="s">
        <v>557</v>
      </c>
      <c r="H67" s="12" t="s">
        <v>497</v>
      </c>
      <c r="I67" s="12" t="n">
        <v>30</v>
      </c>
      <c r="J67" s="12" t="n">
        <v>6</v>
      </c>
      <c r="K67" s="12" t="s">
        <v>65</v>
      </c>
      <c r="L67" s="12" t="s">
        <v>498</v>
      </c>
      <c r="M67" s="13"/>
      <c r="N67" s="12"/>
      <c r="O67" s="12" t="s">
        <v>602</v>
      </c>
      <c r="P67" s="12" t="n">
        <v>2020</v>
      </c>
      <c r="Q67" s="12"/>
    </row>
    <row r="68" customFormat="false" ht="15" hidden="false" customHeight="false" outlineLevel="0" collapsed="false">
      <c r="A68" s="12" t="s">
        <v>603</v>
      </c>
      <c r="B68" s="12" t="s">
        <v>604</v>
      </c>
      <c r="C68" s="12" t="s">
        <v>354</v>
      </c>
      <c r="D68" s="12" t="s">
        <v>118</v>
      </c>
      <c r="E68" s="12" t="s">
        <v>463</v>
      </c>
      <c r="F68" s="12" t="s">
        <v>458</v>
      </c>
      <c r="G68" s="12" t="s">
        <v>605</v>
      </c>
      <c r="H68" s="12" t="s">
        <v>606</v>
      </c>
      <c r="I68" s="12" t="n">
        <v>12</v>
      </c>
      <c r="J68" s="12" t="n">
        <v>4</v>
      </c>
      <c r="K68" s="12" t="s">
        <v>540</v>
      </c>
      <c r="L68" s="12" t="s">
        <v>498</v>
      </c>
      <c r="M68" s="13"/>
      <c r="N68" s="12"/>
      <c r="O68" s="12" t="s">
        <v>607</v>
      </c>
      <c r="P68" s="12" t="n">
        <v>2020</v>
      </c>
      <c r="Q68" s="12" t="s">
        <v>608</v>
      </c>
    </row>
    <row r="69" customFormat="false" ht="15" hidden="false" customHeight="false" outlineLevel="0" collapsed="false">
      <c r="A69" s="12" t="s">
        <v>293</v>
      </c>
      <c r="B69" s="12" t="s">
        <v>294</v>
      </c>
      <c r="C69" s="12" t="s">
        <v>354</v>
      </c>
      <c r="D69" s="12" t="s">
        <v>113</v>
      </c>
      <c r="E69" s="12" t="s">
        <v>384</v>
      </c>
      <c r="F69" s="12" t="s">
        <v>392</v>
      </c>
      <c r="G69" s="12" t="s">
        <v>520</v>
      </c>
      <c r="H69" s="12" t="s">
        <v>497</v>
      </c>
      <c r="I69" s="12" t="n">
        <v>30</v>
      </c>
      <c r="J69" s="12" t="n">
        <v>6</v>
      </c>
      <c r="K69" s="12" t="s">
        <v>65</v>
      </c>
      <c r="L69" s="12" t="s">
        <v>498</v>
      </c>
      <c r="M69" s="13"/>
      <c r="N69" s="12" t="s">
        <v>291</v>
      </c>
      <c r="O69" s="12" t="s">
        <v>523</v>
      </c>
      <c r="P69" s="12" t="n">
        <v>2020</v>
      </c>
      <c r="Q69" s="12"/>
    </row>
    <row r="70" customFormat="false" ht="15" hidden="false" customHeight="false" outlineLevel="0" collapsed="false">
      <c r="A70" s="12" t="s">
        <v>609</v>
      </c>
      <c r="B70" s="12" t="s">
        <v>610</v>
      </c>
      <c r="C70" s="12" t="s">
        <v>354</v>
      </c>
      <c r="D70" s="12" t="s">
        <v>118</v>
      </c>
      <c r="E70" s="12" t="s">
        <v>453</v>
      </c>
      <c r="F70" s="12"/>
      <c r="G70" s="12" t="s">
        <v>557</v>
      </c>
      <c r="H70" s="12" t="s">
        <v>497</v>
      </c>
      <c r="I70" s="12" t="n">
        <v>30</v>
      </c>
      <c r="J70" s="12" t="n">
        <v>6</v>
      </c>
      <c r="K70" s="12" t="s">
        <v>65</v>
      </c>
      <c r="L70" s="12" t="s">
        <v>498</v>
      </c>
      <c r="M70" s="13"/>
      <c r="N70" s="12"/>
      <c r="O70" s="12" t="s">
        <v>602</v>
      </c>
      <c r="P70" s="12" t="n">
        <v>2020</v>
      </c>
      <c r="Q70" s="12"/>
    </row>
    <row r="71" customFormat="false" ht="15" hidden="false" customHeight="false" outlineLevel="0" collapsed="false">
      <c r="A71" s="12" t="s">
        <v>289</v>
      </c>
      <c r="B71" s="12" t="s">
        <v>290</v>
      </c>
      <c r="C71" s="12" t="s">
        <v>354</v>
      </c>
      <c r="D71" s="12" t="s">
        <v>113</v>
      </c>
      <c r="E71" s="12" t="s">
        <v>408</v>
      </c>
      <c r="F71" s="12"/>
      <c r="G71" s="12" t="s">
        <v>520</v>
      </c>
      <c r="H71" s="12" t="s">
        <v>497</v>
      </c>
      <c r="I71" s="12" t="n">
        <v>30</v>
      </c>
      <c r="J71" s="12" t="n">
        <v>6</v>
      </c>
      <c r="K71" s="12" t="s">
        <v>65</v>
      </c>
      <c r="L71" s="12" t="s">
        <v>498</v>
      </c>
      <c r="M71" s="13"/>
      <c r="N71" s="12" t="s">
        <v>287</v>
      </c>
      <c r="O71" s="12" t="s">
        <v>560</v>
      </c>
      <c r="P71" s="12" t="n">
        <v>2020</v>
      </c>
      <c r="Q71" s="12"/>
    </row>
    <row r="72" customFormat="false" ht="15" hidden="false" customHeight="false" outlineLevel="0" collapsed="false">
      <c r="A72" s="12" t="s">
        <v>611</v>
      </c>
      <c r="B72" s="12" t="s">
        <v>612</v>
      </c>
      <c r="C72" s="12" t="s">
        <v>354</v>
      </c>
      <c r="D72" s="12" t="s">
        <v>113</v>
      </c>
      <c r="E72" s="12" t="s">
        <v>408</v>
      </c>
      <c r="F72" s="12" t="s">
        <v>400</v>
      </c>
      <c r="G72" s="12" t="s">
        <v>520</v>
      </c>
      <c r="H72" s="12" t="s">
        <v>497</v>
      </c>
      <c r="I72" s="12" t="n">
        <v>30</v>
      </c>
      <c r="J72" s="12" t="n">
        <v>6</v>
      </c>
      <c r="K72" s="12" t="s">
        <v>65</v>
      </c>
      <c r="L72" s="12" t="s">
        <v>498</v>
      </c>
      <c r="M72" s="13"/>
      <c r="N72" s="12"/>
      <c r="O72" s="12" t="s">
        <v>582</v>
      </c>
      <c r="P72" s="12" t="n">
        <v>2020</v>
      </c>
      <c r="Q72" s="12"/>
    </row>
    <row r="73" customFormat="false" ht="15" hidden="false" customHeight="false" outlineLevel="0" collapsed="false">
      <c r="A73" s="12" t="s">
        <v>613</v>
      </c>
      <c r="B73" s="12" t="s">
        <v>614</v>
      </c>
      <c r="C73" s="12" t="s">
        <v>507</v>
      </c>
      <c r="D73" s="12" t="s">
        <v>116</v>
      </c>
      <c r="E73" s="12" t="s">
        <v>442</v>
      </c>
      <c r="F73" s="12" t="s">
        <v>440</v>
      </c>
      <c r="G73" s="12" t="s">
        <v>72</v>
      </c>
      <c r="H73" s="12" t="s">
        <v>497</v>
      </c>
      <c r="I73" s="12" t="n">
        <v>26</v>
      </c>
      <c r="J73" s="12" t="n">
        <v>5</v>
      </c>
      <c r="K73" s="12" t="s">
        <v>65</v>
      </c>
      <c r="L73" s="12" t="s">
        <v>498</v>
      </c>
      <c r="M73" s="13"/>
      <c r="N73" s="12"/>
      <c r="O73" s="12" t="s">
        <v>615</v>
      </c>
      <c r="P73" s="12" t="n">
        <v>2021</v>
      </c>
      <c r="Q73" s="12"/>
    </row>
    <row r="74" customFormat="false" ht="15" hidden="false" customHeight="false" outlineLevel="0" collapsed="false">
      <c r="A74" s="12" t="s">
        <v>150</v>
      </c>
      <c r="B74" s="12" t="s">
        <v>151</v>
      </c>
      <c r="C74" s="12" t="s">
        <v>354</v>
      </c>
      <c r="D74" s="12" t="s">
        <v>108</v>
      </c>
      <c r="E74" s="12" t="s">
        <v>384</v>
      </c>
      <c r="F74" s="12"/>
      <c r="G74" s="12" t="s">
        <v>59</v>
      </c>
      <c r="H74" s="12" t="s">
        <v>497</v>
      </c>
      <c r="I74" s="12" t="n">
        <v>28</v>
      </c>
      <c r="J74" s="12" t="n">
        <v>6</v>
      </c>
      <c r="K74" s="12" t="s">
        <v>61</v>
      </c>
      <c r="L74" s="12" t="s">
        <v>498</v>
      </c>
      <c r="M74" s="13"/>
      <c r="N74" s="12" t="s">
        <v>148</v>
      </c>
      <c r="O74" s="12" t="s">
        <v>565</v>
      </c>
      <c r="P74" s="12" t="n">
        <v>2021</v>
      </c>
      <c r="Q74" s="12"/>
    </row>
    <row r="75" customFormat="false" ht="15" hidden="false" customHeight="false" outlineLevel="0" collapsed="false">
      <c r="A75" s="12" t="s">
        <v>616</v>
      </c>
      <c r="B75" s="12" t="s">
        <v>617</v>
      </c>
      <c r="C75" s="12" t="s">
        <v>354</v>
      </c>
      <c r="D75" s="12" t="s">
        <v>113</v>
      </c>
      <c r="E75" s="12" t="s">
        <v>392</v>
      </c>
      <c r="F75" s="12" t="s">
        <v>412</v>
      </c>
      <c r="G75" s="12" t="s">
        <v>520</v>
      </c>
      <c r="H75" s="12" t="s">
        <v>497</v>
      </c>
      <c r="I75" s="12" t="n">
        <v>30</v>
      </c>
      <c r="J75" s="12" t="n">
        <v>6</v>
      </c>
      <c r="K75" s="12" t="s">
        <v>65</v>
      </c>
      <c r="L75" s="12" t="s">
        <v>498</v>
      </c>
      <c r="M75" s="13"/>
      <c r="N75" s="12"/>
      <c r="O75" s="12" t="s">
        <v>522</v>
      </c>
      <c r="P75" s="12" t="n">
        <v>2021</v>
      </c>
      <c r="Q75" s="12"/>
    </row>
    <row r="76" customFormat="false" ht="15" hidden="false" customHeight="false" outlineLevel="0" collapsed="false">
      <c r="A76" s="12" t="s">
        <v>618</v>
      </c>
      <c r="B76" s="12" t="s">
        <v>619</v>
      </c>
      <c r="C76" s="12" t="s">
        <v>507</v>
      </c>
      <c r="D76" s="12" t="s">
        <v>113</v>
      </c>
      <c r="E76" s="12" t="s">
        <v>392</v>
      </c>
      <c r="F76" s="12"/>
      <c r="G76" s="12" t="s">
        <v>520</v>
      </c>
      <c r="H76" s="12" t="s">
        <v>497</v>
      </c>
      <c r="I76" s="12" t="n">
        <v>30</v>
      </c>
      <c r="J76" s="12" t="n">
        <v>6</v>
      </c>
      <c r="K76" s="12" t="s">
        <v>65</v>
      </c>
      <c r="L76" s="12" t="s">
        <v>498</v>
      </c>
      <c r="M76" s="13"/>
      <c r="N76" s="12"/>
      <c r="O76" s="12" t="s">
        <v>522</v>
      </c>
      <c r="P76" s="12" t="n">
        <v>2021</v>
      </c>
      <c r="Q76" s="12"/>
    </row>
    <row r="77" customFormat="false" ht="15" hidden="false" customHeight="false" outlineLevel="0" collapsed="false">
      <c r="A77" s="12" t="s">
        <v>620</v>
      </c>
      <c r="B77" s="12" t="s">
        <v>621</v>
      </c>
      <c r="C77" s="12" t="s">
        <v>507</v>
      </c>
      <c r="D77" s="12" t="s">
        <v>116</v>
      </c>
      <c r="E77" s="12" t="s">
        <v>400</v>
      </c>
      <c r="F77" s="12" t="s">
        <v>414</v>
      </c>
      <c r="G77" s="12" t="s">
        <v>572</v>
      </c>
      <c r="H77" s="12" t="s">
        <v>497</v>
      </c>
      <c r="I77" s="12" t="n">
        <v>26</v>
      </c>
      <c r="J77" s="12" t="n">
        <v>5</v>
      </c>
      <c r="K77" s="12" t="s">
        <v>65</v>
      </c>
      <c r="L77" s="12" t="s">
        <v>498</v>
      </c>
      <c r="M77" s="13"/>
      <c r="N77" s="12"/>
      <c r="O77" s="12" t="s">
        <v>502</v>
      </c>
      <c r="P77" s="12" t="n">
        <v>2021</v>
      </c>
      <c r="Q77" s="12" t="s">
        <v>622</v>
      </c>
    </row>
    <row r="78" customFormat="false" ht="15" hidden="false" customHeight="false" outlineLevel="0" collapsed="false">
      <c r="A78" s="12" t="s">
        <v>623</v>
      </c>
      <c r="B78" s="12" t="s">
        <v>624</v>
      </c>
      <c r="C78" s="12" t="s">
        <v>507</v>
      </c>
      <c r="D78" s="12" t="s">
        <v>116</v>
      </c>
      <c r="E78" s="12" t="s">
        <v>414</v>
      </c>
      <c r="F78" s="12"/>
      <c r="G78" s="12" t="s">
        <v>72</v>
      </c>
      <c r="H78" s="12" t="s">
        <v>497</v>
      </c>
      <c r="I78" s="12" t="n">
        <v>26</v>
      </c>
      <c r="J78" s="12" t="n">
        <v>5</v>
      </c>
      <c r="K78" s="12" t="s">
        <v>65</v>
      </c>
      <c r="L78" s="12" t="s">
        <v>498</v>
      </c>
      <c r="M78" s="13"/>
      <c r="N78" s="12"/>
      <c r="O78" s="12" t="s">
        <v>530</v>
      </c>
      <c r="P78" s="12" t="n">
        <v>2021</v>
      </c>
      <c r="Q78" s="12"/>
    </row>
    <row r="79" customFormat="false" ht="15" hidden="false" customHeight="false" outlineLevel="0" collapsed="false">
      <c r="A79" s="12" t="s">
        <v>155</v>
      </c>
      <c r="B79" s="12" t="s">
        <v>156</v>
      </c>
      <c r="C79" s="12" t="s">
        <v>354</v>
      </c>
      <c r="D79" s="12" t="s">
        <v>108</v>
      </c>
      <c r="E79" s="12" t="s">
        <v>400</v>
      </c>
      <c r="F79" s="12"/>
      <c r="G79" s="12" t="s">
        <v>59</v>
      </c>
      <c r="H79" s="12" t="s">
        <v>497</v>
      </c>
      <c r="I79" s="12" t="n">
        <v>28</v>
      </c>
      <c r="J79" s="12" t="n">
        <v>6</v>
      </c>
      <c r="K79" s="12" t="s">
        <v>61</v>
      </c>
      <c r="L79" s="12" t="s">
        <v>498</v>
      </c>
      <c r="M79" s="13"/>
      <c r="N79" s="12" t="s">
        <v>152</v>
      </c>
      <c r="O79" s="12" t="s">
        <v>625</v>
      </c>
      <c r="P79" s="12" t="n">
        <v>2021</v>
      </c>
      <c r="Q79" s="12"/>
    </row>
    <row r="80" customFormat="false" ht="15" hidden="false" customHeight="false" outlineLevel="0" collapsed="false">
      <c r="A80" s="12" t="s">
        <v>626</v>
      </c>
      <c r="B80" s="12" t="s">
        <v>627</v>
      </c>
      <c r="C80" s="12" t="s">
        <v>354</v>
      </c>
      <c r="D80" s="12" t="s">
        <v>113</v>
      </c>
      <c r="E80" s="12" t="s">
        <v>412</v>
      </c>
      <c r="F80" s="12"/>
      <c r="G80" s="12" t="s">
        <v>520</v>
      </c>
      <c r="H80" s="12" t="s">
        <v>497</v>
      </c>
      <c r="I80" s="12" t="n">
        <v>30</v>
      </c>
      <c r="J80" s="12" t="n">
        <v>6</v>
      </c>
      <c r="K80" s="12" t="s">
        <v>65</v>
      </c>
      <c r="L80" s="12" t="s">
        <v>498</v>
      </c>
      <c r="M80" s="13"/>
      <c r="N80" s="12"/>
      <c r="O80" s="12" t="s">
        <v>521</v>
      </c>
      <c r="P80" s="12" t="n">
        <v>2021</v>
      </c>
      <c r="Q80" s="12"/>
    </row>
    <row r="81" customFormat="false" ht="15" hidden="false" customHeight="false" outlineLevel="0" collapsed="false">
      <c r="A81" s="12" t="s">
        <v>208</v>
      </c>
      <c r="B81" s="12" t="s">
        <v>209</v>
      </c>
      <c r="C81" s="12" t="s">
        <v>507</v>
      </c>
      <c r="D81" s="12" t="s">
        <v>111</v>
      </c>
      <c r="E81" s="12" t="s">
        <v>408</v>
      </c>
      <c r="F81" s="12" t="s">
        <v>400</v>
      </c>
      <c r="G81" s="12" t="s">
        <v>63</v>
      </c>
      <c r="H81" s="12" t="s">
        <v>497</v>
      </c>
      <c r="I81" s="12" t="n">
        <v>30</v>
      </c>
      <c r="J81" s="12" t="n">
        <v>6</v>
      </c>
      <c r="K81" s="12" t="s">
        <v>65</v>
      </c>
      <c r="L81" s="12" t="s">
        <v>498</v>
      </c>
      <c r="M81" s="13"/>
      <c r="N81" s="12" t="s">
        <v>206</v>
      </c>
      <c r="O81" s="12" t="s">
        <v>560</v>
      </c>
      <c r="P81" s="12" t="n">
        <v>2022</v>
      </c>
      <c r="Q81" s="12"/>
    </row>
    <row r="82" customFormat="false" ht="15" hidden="false" customHeight="false" outlineLevel="0" collapsed="false">
      <c r="A82" s="12" t="s">
        <v>351</v>
      </c>
      <c r="B82" s="12" t="s">
        <v>352</v>
      </c>
      <c r="C82" s="12" t="s">
        <v>354</v>
      </c>
      <c r="D82" s="12" t="s">
        <v>116</v>
      </c>
      <c r="E82" s="12" t="s">
        <v>442</v>
      </c>
      <c r="F82" s="12"/>
      <c r="G82" s="12" t="s">
        <v>72</v>
      </c>
      <c r="H82" s="12" t="s">
        <v>497</v>
      </c>
      <c r="I82" s="12" t="n">
        <v>26</v>
      </c>
      <c r="J82" s="12" t="n">
        <v>5</v>
      </c>
      <c r="K82" s="12" t="s">
        <v>65</v>
      </c>
      <c r="L82" s="12" t="s">
        <v>498</v>
      </c>
      <c r="M82" s="13"/>
      <c r="N82" s="12" t="s">
        <v>349</v>
      </c>
      <c r="O82" s="12" t="s">
        <v>615</v>
      </c>
      <c r="P82" s="12" t="n">
        <v>2023</v>
      </c>
      <c r="Q82" s="12"/>
    </row>
    <row r="83" customFormat="false" ht="15" hidden="false" customHeight="false" outlineLevel="0" collapsed="false">
      <c r="A83" s="12" t="s">
        <v>204</v>
      </c>
      <c r="B83" s="12" t="s">
        <v>205</v>
      </c>
      <c r="C83" s="12" t="s">
        <v>354</v>
      </c>
      <c r="D83" s="12" t="s">
        <v>111</v>
      </c>
      <c r="E83" s="12" t="s">
        <v>392</v>
      </c>
      <c r="F83" s="12" t="s">
        <v>412</v>
      </c>
      <c r="G83" s="12" t="s">
        <v>63</v>
      </c>
      <c r="H83" s="12" t="s">
        <v>497</v>
      </c>
      <c r="I83" s="12" t="n">
        <v>30</v>
      </c>
      <c r="J83" s="12" t="n">
        <v>6</v>
      </c>
      <c r="K83" s="12" t="s">
        <v>65</v>
      </c>
      <c r="L83" s="12" t="s">
        <v>498</v>
      </c>
      <c r="M83" s="13"/>
      <c r="N83" s="12" t="s">
        <v>202</v>
      </c>
      <c r="O83" s="12" t="s">
        <v>628</v>
      </c>
      <c r="P83" s="12" t="n">
        <v>2023</v>
      </c>
      <c r="Q83" s="12"/>
    </row>
    <row r="84" customFormat="false" ht="15" hidden="false" customHeight="false" outlineLevel="0" collapsed="false">
      <c r="A84" s="12" t="s">
        <v>629</v>
      </c>
      <c r="B84" s="12" t="s">
        <v>630</v>
      </c>
      <c r="C84" s="12" t="s">
        <v>507</v>
      </c>
      <c r="D84" s="12" t="s">
        <v>116</v>
      </c>
      <c r="E84" s="12" t="s">
        <v>384</v>
      </c>
      <c r="F84" s="12"/>
      <c r="G84" s="12" t="s">
        <v>72</v>
      </c>
      <c r="H84" s="12" t="s">
        <v>497</v>
      </c>
      <c r="I84" s="12" t="n">
        <v>26</v>
      </c>
      <c r="J84" s="12" t="n">
        <v>5</v>
      </c>
      <c r="K84" s="12" t="s">
        <v>65</v>
      </c>
      <c r="L84" s="12" t="s">
        <v>498</v>
      </c>
      <c r="M84" s="13"/>
      <c r="N84" s="12"/>
      <c r="O84" s="12" t="s">
        <v>523</v>
      </c>
      <c r="P84" s="12" t="n">
        <v>2023</v>
      </c>
      <c r="Q84" s="12"/>
    </row>
    <row r="85" customFormat="false" ht="15" hidden="false" customHeight="false" outlineLevel="0" collapsed="false">
      <c r="A85" s="12" t="s">
        <v>631</v>
      </c>
      <c r="B85" s="12" t="s">
        <v>632</v>
      </c>
      <c r="C85" s="12" t="s">
        <v>507</v>
      </c>
      <c r="D85" s="12" t="s">
        <v>113</v>
      </c>
      <c r="E85" s="12" t="s">
        <v>412</v>
      </c>
      <c r="F85" s="12"/>
      <c r="G85" s="12" t="s">
        <v>520</v>
      </c>
      <c r="H85" s="12" t="s">
        <v>497</v>
      </c>
      <c r="I85" s="12" t="n">
        <v>30</v>
      </c>
      <c r="J85" s="12" t="n">
        <v>6</v>
      </c>
      <c r="K85" s="12" t="s">
        <v>65</v>
      </c>
      <c r="L85" s="12" t="s">
        <v>498</v>
      </c>
      <c r="M85" s="13"/>
      <c r="N85" s="12"/>
      <c r="O85" s="12" t="s">
        <v>521</v>
      </c>
      <c r="P85" s="12" t="n">
        <v>2023</v>
      </c>
      <c r="Q85" s="12"/>
    </row>
    <row r="86" customFormat="false" ht="15" hidden="false" customHeight="false" outlineLevel="0" collapsed="false">
      <c r="A86" s="12" t="s">
        <v>302</v>
      </c>
      <c r="B86" s="12" t="s">
        <v>303</v>
      </c>
      <c r="C86" s="12" t="s">
        <v>354</v>
      </c>
      <c r="D86" s="12" t="s">
        <v>113</v>
      </c>
      <c r="E86" s="12" t="s">
        <v>400</v>
      </c>
      <c r="F86" s="12" t="s">
        <v>408</v>
      </c>
      <c r="G86" s="12" t="s">
        <v>520</v>
      </c>
      <c r="H86" s="12" t="s">
        <v>497</v>
      </c>
      <c r="I86" s="12" t="n">
        <v>30</v>
      </c>
      <c r="J86" s="12" t="n">
        <v>6</v>
      </c>
      <c r="K86" s="12" t="s">
        <v>65</v>
      </c>
      <c r="L86" s="12" t="s">
        <v>498</v>
      </c>
      <c r="M86" s="13"/>
      <c r="N86" s="12" t="s">
        <v>300</v>
      </c>
      <c r="O86" s="12" t="s">
        <v>502</v>
      </c>
      <c r="P86" s="12" t="n">
        <v>2024</v>
      </c>
      <c r="Q86" s="12"/>
    </row>
    <row r="87" customFormat="false" ht="15" hidden="false" customHeight="false" outlineLevel="0" collapsed="false">
      <c r="A87" s="12" t="s">
        <v>323</v>
      </c>
      <c r="B87" s="12" t="s">
        <v>324</v>
      </c>
      <c r="C87" s="12" t="s">
        <v>507</v>
      </c>
      <c r="D87" s="12" t="s">
        <v>113</v>
      </c>
      <c r="E87" s="12" t="s">
        <v>400</v>
      </c>
      <c r="F87" s="12"/>
      <c r="G87" s="12" t="s">
        <v>520</v>
      </c>
      <c r="H87" s="12" t="s">
        <v>497</v>
      </c>
      <c r="I87" s="12" t="n">
        <v>30</v>
      </c>
      <c r="J87" s="12" t="n">
        <v>6</v>
      </c>
      <c r="K87" s="12" t="s">
        <v>65</v>
      </c>
      <c r="L87" s="12" t="s">
        <v>498</v>
      </c>
      <c r="M87" s="13"/>
      <c r="N87" s="12" t="s">
        <v>321</v>
      </c>
      <c r="O87" s="12" t="s">
        <v>502</v>
      </c>
      <c r="P87" s="12" t="n">
        <v>2024</v>
      </c>
      <c r="Q87" s="12"/>
    </row>
    <row r="88" customFormat="false" ht="15" hidden="false" customHeight="false" outlineLevel="0" collapsed="false">
      <c r="A88" s="12" t="s">
        <v>633</v>
      </c>
      <c r="B88" s="12" t="s">
        <v>634</v>
      </c>
      <c r="C88" s="12" t="s">
        <v>354</v>
      </c>
      <c r="D88" s="12" t="s">
        <v>111</v>
      </c>
      <c r="E88" s="12" t="s">
        <v>412</v>
      </c>
      <c r="F88" s="12"/>
      <c r="G88" s="12" t="s">
        <v>63</v>
      </c>
      <c r="H88" s="12" t="s">
        <v>497</v>
      </c>
      <c r="I88" s="12" t="n">
        <v>30</v>
      </c>
      <c r="J88" s="12" t="n">
        <v>6</v>
      </c>
      <c r="K88" s="12" t="s">
        <v>65</v>
      </c>
      <c r="L88" s="12" t="s">
        <v>498</v>
      </c>
      <c r="M88" s="13"/>
      <c r="N88" s="12"/>
      <c r="O88" s="12" t="s">
        <v>534</v>
      </c>
      <c r="P88" s="12" t="n">
        <v>2024</v>
      </c>
      <c r="Q88" s="12"/>
    </row>
    <row r="89" customFormat="false" ht="15" hidden="false" customHeight="false" outlineLevel="0" collapsed="false">
      <c r="A89" s="12" t="s">
        <v>635</v>
      </c>
      <c r="B89" s="12" t="s">
        <v>636</v>
      </c>
      <c r="C89" s="12" t="s">
        <v>354</v>
      </c>
      <c r="D89" s="12" t="s">
        <v>113</v>
      </c>
      <c r="E89" s="12" t="s">
        <v>400</v>
      </c>
      <c r="F89" s="12"/>
      <c r="G89" s="12" t="s">
        <v>520</v>
      </c>
      <c r="H89" s="12" t="s">
        <v>497</v>
      </c>
      <c r="I89" s="12" t="n">
        <v>30</v>
      </c>
      <c r="J89" s="12" t="n">
        <v>6</v>
      </c>
      <c r="K89" s="12" t="s">
        <v>65</v>
      </c>
      <c r="L89" s="12" t="s">
        <v>498</v>
      </c>
      <c r="M89" s="13"/>
      <c r="N89" s="12"/>
      <c r="O89" s="12" t="s">
        <v>502</v>
      </c>
      <c r="P89" s="12" t="n">
        <v>2024</v>
      </c>
      <c r="Q89" s="12"/>
    </row>
    <row r="90" customFormat="false" ht="15" hidden="false" customHeight="false" outlineLevel="0" collapsed="false">
      <c r="A90" s="12" t="s">
        <v>637</v>
      </c>
      <c r="B90" s="12" t="s">
        <v>638</v>
      </c>
      <c r="C90" s="12" t="s">
        <v>354</v>
      </c>
      <c r="D90" s="12" t="s">
        <v>118</v>
      </c>
      <c r="E90" s="12" t="s">
        <v>468</v>
      </c>
      <c r="F90" s="12"/>
      <c r="G90" s="12" t="s">
        <v>517</v>
      </c>
      <c r="H90" s="12" t="s">
        <v>497</v>
      </c>
      <c r="I90" s="12" t="n">
        <v>30</v>
      </c>
      <c r="J90" s="12" t="n">
        <v>6</v>
      </c>
      <c r="K90" s="12" t="s">
        <v>65</v>
      </c>
      <c r="L90" s="12" t="s">
        <v>498</v>
      </c>
      <c r="M90" s="13"/>
      <c r="N90" s="12"/>
      <c r="O90" s="12" t="s">
        <v>546</v>
      </c>
      <c r="P90" s="12" t="n">
        <v>2024</v>
      </c>
      <c r="Q90" s="12"/>
    </row>
    <row r="91" customFormat="false" ht="15" hidden="false" customHeight="false" outlineLevel="0" collapsed="false">
      <c r="A91" s="12" t="s">
        <v>160</v>
      </c>
      <c r="B91" s="12" t="s">
        <v>161</v>
      </c>
      <c r="C91" s="12" t="s">
        <v>354</v>
      </c>
      <c r="D91" s="12" t="s">
        <v>108</v>
      </c>
      <c r="E91" s="12" t="s">
        <v>476</v>
      </c>
      <c r="F91" s="12" t="s">
        <v>384</v>
      </c>
      <c r="G91" s="12" t="s">
        <v>59</v>
      </c>
      <c r="H91" s="12" t="s">
        <v>497</v>
      </c>
      <c r="I91" s="12" t="n">
        <v>28</v>
      </c>
      <c r="J91" s="12" t="n">
        <v>6</v>
      </c>
      <c r="K91" s="12" t="s">
        <v>61</v>
      </c>
      <c r="L91" s="12" t="s">
        <v>498</v>
      </c>
      <c r="M91" s="13"/>
      <c r="N91" s="12" t="s">
        <v>157</v>
      </c>
      <c r="O91" s="12" t="s">
        <v>625</v>
      </c>
      <c r="P91" s="12" t="n">
        <v>2024</v>
      </c>
      <c r="Q91" s="12"/>
    </row>
    <row r="92" customFormat="false" ht="15" hidden="false" customHeight="false" outlineLevel="0" collapsed="false">
      <c r="A92" s="12" t="s">
        <v>173</v>
      </c>
      <c r="B92" s="12" t="s">
        <v>174</v>
      </c>
      <c r="C92" s="12" t="s">
        <v>354</v>
      </c>
      <c r="D92" s="12" t="s">
        <v>111</v>
      </c>
      <c r="E92" s="12" t="s">
        <v>384</v>
      </c>
      <c r="F92" s="12"/>
      <c r="G92" s="12" t="s">
        <v>63</v>
      </c>
      <c r="H92" s="12" t="s">
        <v>497</v>
      </c>
      <c r="I92" s="12" t="n">
        <v>30</v>
      </c>
      <c r="J92" s="12" t="n">
        <v>6</v>
      </c>
      <c r="K92" s="12" t="s">
        <v>65</v>
      </c>
      <c r="L92" s="12" t="s">
        <v>498</v>
      </c>
      <c r="M92" s="13"/>
      <c r="N92" s="12" t="s">
        <v>171</v>
      </c>
      <c r="O92" s="12" t="s">
        <v>523</v>
      </c>
      <c r="P92" s="12" t="n">
        <v>2024</v>
      </c>
      <c r="Q92" s="12"/>
    </row>
    <row r="93" customFormat="false" ht="15" hidden="false" customHeight="false" outlineLevel="0" collapsed="false">
      <c r="A93" s="12" t="s">
        <v>639</v>
      </c>
      <c r="B93" s="12" t="s">
        <v>640</v>
      </c>
      <c r="C93" s="12" t="s">
        <v>354</v>
      </c>
      <c r="D93" s="12" t="s">
        <v>118</v>
      </c>
      <c r="E93" s="12" t="s">
        <v>458</v>
      </c>
      <c r="F93" s="12"/>
      <c r="G93" s="12" t="s">
        <v>563</v>
      </c>
      <c r="H93" s="12" t="s">
        <v>539</v>
      </c>
      <c r="I93" s="12" t="n">
        <v>10</v>
      </c>
      <c r="J93" s="12" t="n">
        <v>5</v>
      </c>
      <c r="K93" s="12" t="s">
        <v>641</v>
      </c>
      <c r="L93" s="12" t="s">
        <v>498</v>
      </c>
      <c r="M93" s="13"/>
      <c r="N93" s="12"/>
      <c r="O93" s="12" t="s">
        <v>642</v>
      </c>
      <c r="P93" s="12" t="n">
        <v>2025</v>
      </c>
      <c r="Q93" s="12" t="s">
        <v>643</v>
      </c>
    </row>
    <row r="94" customFormat="false" ht="15" hidden="false" customHeight="false" outlineLevel="0" collapsed="false">
      <c r="A94" s="12" t="s">
        <v>644</v>
      </c>
      <c r="B94" s="12" t="s">
        <v>265</v>
      </c>
      <c r="C94" s="12" t="s">
        <v>507</v>
      </c>
      <c r="D94" s="12" t="s">
        <v>118</v>
      </c>
      <c r="E94" s="12" t="s">
        <v>468</v>
      </c>
      <c r="F94" s="12"/>
      <c r="G94" s="12" t="s">
        <v>517</v>
      </c>
      <c r="H94" s="12" t="s">
        <v>497</v>
      </c>
      <c r="I94" s="12" t="n">
        <v>30</v>
      </c>
      <c r="J94" s="12" t="n">
        <v>6</v>
      </c>
      <c r="K94" s="12" t="s">
        <v>65</v>
      </c>
      <c r="L94" s="12" t="s">
        <v>498</v>
      </c>
      <c r="M94" s="13"/>
      <c r="N94" s="12"/>
      <c r="O94" s="12" t="s">
        <v>546</v>
      </c>
      <c r="P94" s="12" t="n">
        <v>2025</v>
      </c>
      <c r="Q94" s="12"/>
    </row>
    <row r="95" customFormat="false" ht="15" hidden="false" customHeight="false" outlineLevel="0" collapsed="false">
      <c r="A95" s="12" t="s">
        <v>238</v>
      </c>
      <c r="B95" s="12" t="s">
        <v>239</v>
      </c>
      <c r="C95" s="12" t="s">
        <v>354</v>
      </c>
      <c r="D95" s="12" t="s">
        <v>111</v>
      </c>
      <c r="E95" s="12" t="s">
        <v>392</v>
      </c>
      <c r="F95" s="12"/>
      <c r="G95" s="12" t="s">
        <v>63</v>
      </c>
      <c r="H95" s="12" t="s">
        <v>497</v>
      </c>
      <c r="I95" s="12" t="n">
        <v>30</v>
      </c>
      <c r="J95" s="12" t="n">
        <v>6</v>
      </c>
      <c r="K95" s="12" t="s">
        <v>65</v>
      </c>
      <c r="L95" s="12" t="s">
        <v>498</v>
      </c>
      <c r="M95" s="13"/>
      <c r="N95" s="12" t="s">
        <v>236</v>
      </c>
      <c r="O95" s="12" t="s">
        <v>522</v>
      </c>
      <c r="P95" s="12" t="n">
        <v>2025</v>
      </c>
      <c r="Q95" s="12"/>
    </row>
    <row r="96" customFormat="false" ht="15" hidden="false" customHeight="false" outlineLevel="0" collapsed="false">
      <c r="A96" s="12" t="s">
        <v>164</v>
      </c>
      <c r="B96" s="12" t="s">
        <v>165</v>
      </c>
      <c r="C96" s="12" t="s">
        <v>354</v>
      </c>
      <c r="D96" s="12" t="s">
        <v>108</v>
      </c>
      <c r="E96" s="12" t="s">
        <v>404</v>
      </c>
      <c r="F96" s="12" t="s">
        <v>384</v>
      </c>
      <c r="G96" s="12" t="s">
        <v>59</v>
      </c>
      <c r="H96" s="12" t="s">
        <v>497</v>
      </c>
      <c r="I96" s="12" t="n">
        <v>28</v>
      </c>
      <c r="J96" s="12" t="n">
        <v>6</v>
      </c>
      <c r="K96" s="12" t="s">
        <v>61</v>
      </c>
      <c r="L96" s="12" t="s">
        <v>498</v>
      </c>
      <c r="M96" s="13"/>
      <c r="N96" s="12" t="s">
        <v>162</v>
      </c>
      <c r="O96" s="12" t="s">
        <v>645</v>
      </c>
      <c r="P96" s="12" t="n">
        <v>2025</v>
      </c>
      <c r="Q96" s="12"/>
    </row>
    <row r="97" customFormat="false" ht="15" hidden="false" customHeight="false" outlineLevel="0" collapsed="false">
      <c r="A97" s="12" t="s">
        <v>200</v>
      </c>
      <c r="B97" s="12" t="s">
        <v>201</v>
      </c>
      <c r="C97" s="12" t="s">
        <v>354</v>
      </c>
      <c r="D97" s="12" t="s">
        <v>111</v>
      </c>
      <c r="E97" s="12" t="s">
        <v>384</v>
      </c>
      <c r="F97" s="12"/>
      <c r="G97" s="12" t="s">
        <v>63</v>
      </c>
      <c r="H97" s="12" t="s">
        <v>497</v>
      </c>
      <c r="I97" s="12" t="n">
        <v>30</v>
      </c>
      <c r="J97" s="12" t="n">
        <v>6</v>
      </c>
      <c r="K97" s="12" t="s">
        <v>65</v>
      </c>
      <c r="L97" s="12" t="s">
        <v>498</v>
      </c>
      <c r="M97" s="13"/>
      <c r="N97" s="12" t="s">
        <v>197</v>
      </c>
      <c r="O97" s="12" t="s">
        <v>523</v>
      </c>
      <c r="P97" s="12" t="n">
        <v>2025</v>
      </c>
      <c r="Q97" s="12"/>
    </row>
    <row r="98" customFormat="false" ht="15" hidden="false" customHeight="false" outlineLevel="0" collapsed="false">
      <c r="A98" s="12" t="s">
        <v>646</v>
      </c>
      <c r="B98" s="12" t="s">
        <v>647</v>
      </c>
      <c r="C98" s="12" t="s">
        <v>507</v>
      </c>
      <c r="D98" s="12" t="s">
        <v>118</v>
      </c>
      <c r="E98" s="12" t="s">
        <v>468</v>
      </c>
      <c r="F98" s="12"/>
      <c r="G98" s="12" t="s">
        <v>517</v>
      </c>
      <c r="H98" s="12" t="s">
        <v>497</v>
      </c>
      <c r="I98" s="12" t="n">
        <v>30</v>
      </c>
      <c r="J98" s="12" t="n">
        <v>6</v>
      </c>
      <c r="K98" s="12" t="s">
        <v>65</v>
      </c>
      <c r="L98" s="12" t="s">
        <v>498</v>
      </c>
      <c r="M98" s="13"/>
      <c r="N98" s="12"/>
      <c r="O98" s="12" t="s">
        <v>546</v>
      </c>
      <c r="P98" s="12" t="n">
        <v>2025</v>
      </c>
      <c r="Q98" s="12"/>
    </row>
    <row r="99" customFormat="false" ht="15" hidden="false" customHeight="false" outlineLevel="0" collapsed="false">
      <c r="A99" s="12" t="s">
        <v>221</v>
      </c>
      <c r="B99" s="12" t="s">
        <v>222</v>
      </c>
      <c r="C99" s="12" t="s">
        <v>354</v>
      </c>
      <c r="D99" s="12" t="s">
        <v>111</v>
      </c>
      <c r="E99" s="12" t="s">
        <v>404</v>
      </c>
      <c r="F99" s="12" t="s">
        <v>408</v>
      </c>
      <c r="G99" s="12" t="s">
        <v>63</v>
      </c>
      <c r="H99" s="12" t="s">
        <v>497</v>
      </c>
      <c r="I99" s="12" t="n">
        <v>30</v>
      </c>
      <c r="J99" s="12" t="n">
        <v>6</v>
      </c>
      <c r="K99" s="12" t="s">
        <v>65</v>
      </c>
      <c r="L99" s="12" t="s">
        <v>498</v>
      </c>
      <c r="M99" s="13"/>
      <c r="N99" s="12" t="s">
        <v>219</v>
      </c>
      <c r="O99" s="12" t="s">
        <v>560</v>
      </c>
      <c r="P99" s="12" t="n">
        <v>2025</v>
      </c>
      <c r="Q99" s="12"/>
    </row>
    <row r="100" customFormat="false" ht="15" hidden="false" customHeight="false" outlineLevel="0" collapsed="false">
      <c r="A100" s="12" t="s">
        <v>234</v>
      </c>
      <c r="B100" s="12" t="s">
        <v>235</v>
      </c>
      <c r="C100" s="12" t="s">
        <v>507</v>
      </c>
      <c r="D100" s="12" t="s">
        <v>111</v>
      </c>
      <c r="E100" s="12" t="s">
        <v>400</v>
      </c>
      <c r="F100" s="12" t="s">
        <v>408</v>
      </c>
      <c r="G100" s="12" t="s">
        <v>63</v>
      </c>
      <c r="H100" s="12" t="s">
        <v>497</v>
      </c>
      <c r="I100" s="12" t="n">
        <v>30</v>
      </c>
      <c r="J100" s="12" t="n">
        <v>6</v>
      </c>
      <c r="K100" s="12" t="s">
        <v>65</v>
      </c>
      <c r="L100" s="12" t="s">
        <v>498</v>
      </c>
      <c r="M100" s="13"/>
      <c r="N100" s="12" t="s">
        <v>232</v>
      </c>
      <c r="O100" s="12" t="s">
        <v>550</v>
      </c>
      <c r="P100" s="12" t="n">
        <v>2025</v>
      </c>
      <c r="Q100" s="12"/>
    </row>
  </sheetData>
  <autoFilter ref="A1:Q100"/>
  <conditionalFormatting sqref="A2:Q100">
    <cfRule type="expression" priority="2" aboveAverage="0" equalAverage="0" bottom="0" percent="0" rank="0" text="" dxfId="5">
      <formula>$L2&lt;&gt;"Active"</formula>
    </cfRule>
    <cfRule type="expression" priority="3" aboveAverage="0" equalAverage="0" bottom="0" percent="0" rank="0" text="" dxfId="6">
      <formula>AND($L2="Active",$M2&lt;&gt;"")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5"/>
  </cols>
  <sheetData>
    <row r="1" customFormat="false" ht="31.5" hidden="false" customHeight="true" outlineLevel="0" collapsed="false">
      <c r="A1" s="6" t="s">
        <v>648</v>
      </c>
      <c r="B1" s="6" t="s">
        <v>122</v>
      </c>
      <c r="C1" s="6" t="s">
        <v>123</v>
      </c>
      <c r="D1" s="6" t="s">
        <v>52</v>
      </c>
      <c r="E1" s="6" t="s">
        <v>376</v>
      </c>
      <c r="F1" s="6" t="s">
        <v>377</v>
      </c>
      <c r="G1" s="6" t="s">
        <v>649</v>
      </c>
      <c r="H1" s="6" t="s">
        <v>650</v>
      </c>
      <c r="I1" s="6" t="s">
        <v>651</v>
      </c>
      <c r="J1" s="6" t="s">
        <v>652</v>
      </c>
      <c r="K1" s="6" t="s">
        <v>380</v>
      </c>
      <c r="L1" s="6" t="s">
        <v>381</v>
      </c>
    </row>
    <row r="2" customFormat="false" ht="15" hidden="false" customHeight="false" outlineLevel="0" collapsed="false">
      <c r="A2" s="12" t="s">
        <v>653</v>
      </c>
      <c r="B2" s="12" t="s">
        <v>131</v>
      </c>
      <c r="C2" s="12" t="s">
        <v>132</v>
      </c>
      <c r="D2" s="12" t="s">
        <v>59</v>
      </c>
      <c r="E2" s="12" t="s">
        <v>384</v>
      </c>
      <c r="F2" s="12" t="s">
        <v>385</v>
      </c>
      <c r="G2" s="12" t="n">
        <v>6</v>
      </c>
      <c r="H2" s="12" t="n">
        <v>0</v>
      </c>
      <c r="I2" s="12" t="n">
        <v>2</v>
      </c>
      <c r="J2" s="12" t="s">
        <v>108</v>
      </c>
      <c r="K2" s="12" t="s">
        <v>388</v>
      </c>
      <c r="L2" s="12" t="s">
        <v>389</v>
      </c>
    </row>
    <row r="3" customFormat="false" ht="15" hidden="false" customHeight="false" outlineLevel="0" collapsed="false">
      <c r="A3" s="12" t="s">
        <v>654</v>
      </c>
      <c r="B3" s="12" t="s">
        <v>131</v>
      </c>
      <c r="C3" s="12" t="s">
        <v>132</v>
      </c>
      <c r="D3" s="12" t="s">
        <v>59</v>
      </c>
      <c r="E3" s="12" t="s">
        <v>392</v>
      </c>
      <c r="F3" s="12" t="s">
        <v>393</v>
      </c>
      <c r="G3" s="12" t="n">
        <v>4</v>
      </c>
      <c r="H3" s="12" t="n">
        <v>0</v>
      </c>
      <c r="I3" s="12" t="n">
        <v>1</v>
      </c>
      <c r="J3" s="12" t="s">
        <v>108</v>
      </c>
      <c r="K3" s="12" t="s">
        <v>388</v>
      </c>
      <c r="L3" s="12" t="s">
        <v>389</v>
      </c>
    </row>
    <row r="4" customFormat="false" ht="15" hidden="false" customHeight="false" outlineLevel="0" collapsed="false">
      <c r="A4" s="12" t="s">
        <v>655</v>
      </c>
      <c r="B4" s="12" t="s">
        <v>131</v>
      </c>
      <c r="C4" s="12" t="s">
        <v>132</v>
      </c>
      <c r="D4" s="12" t="s">
        <v>59</v>
      </c>
      <c r="E4" s="12" t="s">
        <v>400</v>
      </c>
      <c r="F4" s="12" t="s">
        <v>401</v>
      </c>
      <c r="G4" s="12" t="n">
        <v>5</v>
      </c>
      <c r="H4" s="12" t="n">
        <v>0</v>
      </c>
      <c r="I4" s="12" t="n">
        <v>1</v>
      </c>
      <c r="J4" s="12" t="s">
        <v>108</v>
      </c>
      <c r="K4" s="12" t="s">
        <v>388</v>
      </c>
      <c r="L4" s="12" t="s">
        <v>389</v>
      </c>
    </row>
    <row r="5" customFormat="false" ht="15" hidden="false" customHeight="false" outlineLevel="0" collapsed="false">
      <c r="A5" s="12" t="s">
        <v>656</v>
      </c>
      <c r="B5" s="12" t="s">
        <v>131</v>
      </c>
      <c r="C5" s="12" t="s">
        <v>132</v>
      </c>
      <c r="D5" s="12" t="s">
        <v>59</v>
      </c>
      <c r="E5" s="12" t="s">
        <v>404</v>
      </c>
      <c r="F5" s="12" t="s">
        <v>405</v>
      </c>
      <c r="G5" s="12" t="n">
        <v>3</v>
      </c>
      <c r="H5" s="12" t="n">
        <v>0</v>
      </c>
      <c r="I5" s="12" t="n">
        <v>1</v>
      </c>
      <c r="J5" s="12" t="s">
        <v>108</v>
      </c>
      <c r="K5" s="12" t="s">
        <v>388</v>
      </c>
      <c r="L5" s="12" t="s">
        <v>389</v>
      </c>
    </row>
    <row r="6" customFormat="false" ht="15" hidden="false" customHeight="false" outlineLevel="0" collapsed="false">
      <c r="A6" s="12" t="s">
        <v>657</v>
      </c>
      <c r="B6" s="12" t="s">
        <v>131</v>
      </c>
      <c r="C6" s="12" t="s">
        <v>132</v>
      </c>
      <c r="D6" s="12" t="s">
        <v>59</v>
      </c>
      <c r="E6" s="12" t="s">
        <v>476</v>
      </c>
      <c r="F6" s="12" t="s">
        <v>477</v>
      </c>
      <c r="G6" s="12" t="n">
        <v>3</v>
      </c>
      <c r="H6" s="12" t="n">
        <v>0</v>
      </c>
      <c r="I6" s="12" t="n">
        <v>1</v>
      </c>
      <c r="J6" s="12" t="s">
        <v>108</v>
      </c>
      <c r="K6" s="12" t="s">
        <v>388</v>
      </c>
      <c r="L6" s="12" t="s">
        <v>389</v>
      </c>
    </row>
    <row r="7" customFormat="false" ht="15" hidden="false" customHeight="false" outlineLevel="0" collapsed="false">
      <c r="A7" s="12" t="s">
        <v>658</v>
      </c>
      <c r="B7" s="12" t="s">
        <v>131</v>
      </c>
      <c r="C7" s="12" t="s">
        <v>132</v>
      </c>
      <c r="D7" s="12" t="s">
        <v>59</v>
      </c>
      <c r="E7" s="12" t="s">
        <v>453</v>
      </c>
      <c r="F7" s="12" t="s">
        <v>454</v>
      </c>
      <c r="G7" s="12" t="n">
        <v>3</v>
      </c>
      <c r="H7" s="12" t="n">
        <v>0</v>
      </c>
      <c r="I7" s="12" t="n">
        <v>1</v>
      </c>
      <c r="J7" s="12" t="s">
        <v>118</v>
      </c>
      <c r="K7" s="12" t="s">
        <v>456</v>
      </c>
      <c r="L7" s="12" t="s">
        <v>389</v>
      </c>
    </row>
    <row r="8" customFormat="false" ht="15" hidden="false" customHeight="false" outlineLevel="0" collapsed="false">
      <c r="A8" s="12" t="s">
        <v>659</v>
      </c>
      <c r="B8" s="12" t="s">
        <v>131</v>
      </c>
      <c r="C8" s="12" t="s">
        <v>132</v>
      </c>
      <c r="D8" s="12" t="s">
        <v>59</v>
      </c>
      <c r="E8" s="12" t="s">
        <v>458</v>
      </c>
      <c r="F8" s="12" t="s">
        <v>459</v>
      </c>
      <c r="G8" s="12" t="n">
        <v>2</v>
      </c>
      <c r="H8" s="12" t="n">
        <v>0</v>
      </c>
      <c r="I8" s="12" t="n">
        <v>1</v>
      </c>
      <c r="J8" s="12" t="s">
        <v>118</v>
      </c>
      <c r="K8" s="12" t="s">
        <v>460</v>
      </c>
      <c r="L8" s="12" t="s">
        <v>389</v>
      </c>
    </row>
    <row r="9" customFormat="false" ht="15" hidden="false" customHeight="false" outlineLevel="0" collapsed="false">
      <c r="A9" s="12" t="s">
        <v>660</v>
      </c>
      <c r="B9" s="12" t="s">
        <v>131</v>
      </c>
      <c r="C9" s="12" t="s">
        <v>132</v>
      </c>
      <c r="D9" s="12" t="s">
        <v>59</v>
      </c>
      <c r="E9" s="12" t="s">
        <v>468</v>
      </c>
      <c r="F9" s="12" t="s">
        <v>469</v>
      </c>
      <c r="G9" s="12" t="n">
        <v>3</v>
      </c>
      <c r="H9" s="12" t="n">
        <v>0</v>
      </c>
      <c r="I9" s="12" t="n">
        <v>1</v>
      </c>
      <c r="J9" s="12" t="s">
        <v>118</v>
      </c>
      <c r="K9" s="12" t="s">
        <v>661</v>
      </c>
      <c r="L9" s="12" t="s">
        <v>418</v>
      </c>
    </row>
    <row r="10" customFormat="false" ht="15" hidden="false" customHeight="false" outlineLevel="0" collapsed="false">
      <c r="A10" s="12" t="s">
        <v>662</v>
      </c>
      <c r="B10" s="12" t="s">
        <v>131</v>
      </c>
      <c r="C10" s="12" t="s">
        <v>132</v>
      </c>
      <c r="D10" s="12" t="s">
        <v>59</v>
      </c>
      <c r="E10" s="12" t="s">
        <v>478</v>
      </c>
      <c r="F10" s="12" t="s">
        <v>479</v>
      </c>
      <c r="G10" s="12" t="n">
        <v>1</v>
      </c>
      <c r="H10" s="12" t="n">
        <v>0</v>
      </c>
      <c r="I10" s="12" t="n">
        <v>1</v>
      </c>
      <c r="J10" s="12" t="s">
        <v>480</v>
      </c>
      <c r="K10" s="12" t="s">
        <v>388</v>
      </c>
      <c r="L10" s="12" t="s">
        <v>389</v>
      </c>
    </row>
    <row r="11" customFormat="false" ht="15" hidden="false" customHeight="false" outlineLevel="0" collapsed="false">
      <c r="A11" s="12" t="s">
        <v>663</v>
      </c>
      <c r="B11" s="12" t="s">
        <v>138</v>
      </c>
      <c r="C11" s="12" t="s">
        <v>132</v>
      </c>
      <c r="D11" s="12" t="s">
        <v>59</v>
      </c>
      <c r="E11" s="12" t="s">
        <v>384</v>
      </c>
      <c r="F11" s="12" t="s">
        <v>385</v>
      </c>
      <c r="G11" s="12" t="n">
        <v>6</v>
      </c>
      <c r="H11" s="12" t="n">
        <v>0</v>
      </c>
      <c r="I11" s="12" t="n">
        <v>2</v>
      </c>
      <c r="J11" s="12" t="s">
        <v>108</v>
      </c>
      <c r="K11" s="12" t="s">
        <v>388</v>
      </c>
      <c r="L11" s="12" t="s">
        <v>389</v>
      </c>
    </row>
    <row r="12" customFormat="false" ht="15" hidden="false" customHeight="false" outlineLevel="0" collapsed="false">
      <c r="A12" s="12" t="s">
        <v>664</v>
      </c>
      <c r="B12" s="12" t="s">
        <v>138</v>
      </c>
      <c r="C12" s="12" t="s">
        <v>132</v>
      </c>
      <c r="D12" s="12" t="s">
        <v>59</v>
      </c>
      <c r="E12" s="12" t="s">
        <v>392</v>
      </c>
      <c r="F12" s="12" t="s">
        <v>393</v>
      </c>
      <c r="G12" s="12" t="n">
        <v>4</v>
      </c>
      <c r="H12" s="12" t="n">
        <v>0</v>
      </c>
      <c r="I12" s="12" t="n">
        <v>1</v>
      </c>
      <c r="J12" s="12" t="s">
        <v>108</v>
      </c>
      <c r="K12" s="12" t="s">
        <v>388</v>
      </c>
      <c r="L12" s="12" t="s">
        <v>389</v>
      </c>
    </row>
    <row r="13" customFormat="false" ht="15" hidden="false" customHeight="false" outlineLevel="0" collapsed="false">
      <c r="A13" s="12" t="s">
        <v>665</v>
      </c>
      <c r="B13" s="12" t="s">
        <v>138</v>
      </c>
      <c r="C13" s="12" t="s">
        <v>132</v>
      </c>
      <c r="D13" s="12" t="s">
        <v>59</v>
      </c>
      <c r="E13" s="12" t="s">
        <v>400</v>
      </c>
      <c r="F13" s="12" t="s">
        <v>401</v>
      </c>
      <c r="G13" s="12" t="n">
        <v>5</v>
      </c>
      <c r="H13" s="12" t="n">
        <v>0</v>
      </c>
      <c r="I13" s="12" t="n">
        <v>1</v>
      </c>
      <c r="J13" s="12" t="s">
        <v>108</v>
      </c>
      <c r="K13" s="12" t="s">
        <v>388</v>
      </c>
      <c r="L13" s="12" t="s">
        <v>389</v>
      </c>
    </row>
    <row r="14" customFormat="false" ht="15" hidden="false" customHeight="false" outlineLevel="0" collapsed="false">
      <c r="A14" s="12" t="s">
        <v>666</v>
      </c>
      <c r="B14" s="12" t="s">
        <v>138</v>
      </c>
      <c r="C14" s="12" t="s">
        <v>132</v>
      </c>
      <c r="D14" s="12" t="s">
        <v>59</v>
      </c>
      <c r="E14" s="12" t="s">
        <v>404</v>
      </c>
      <c r="F14" s="12" t="s">
        <v>405</v>
      </c>
      <c r="G14" s="12" t="n">
        <v>3</v>
      </c>
      <c r="H14" s="12" t="n">
        <v>0</v>
      </c>
      <c r="I14" s="12" t="n">
        <v>1</v>
      </c>
      <c r="J14" s="12" t="s">
        <v>108</v>
      </c>
      <c r="K14" s="12" t="s">
        <v>388</v>
      </c>
      <c r="L14" s="12" t="s">
        <v>389</v>
      </c>
    </row>
    <row r="15" customFormat="false" ht="15" hidden="false" customHeight="false" outlineLevel="0" collapsed="false">
      <c r="A15" s="12" t="s">
        <v>667</v>
      </c>
      <c r="B15" s="12" t="s">
        <v>138</v>
      </c>
      <c r="C15" s="12" t="s">
        <v>132</v>
      </c>
      <c r="D15" s="12" t="s">
        <v>59</v>
      </c>
      <c r="E15" s="12" t="s">
        <v>476</v>
      </c>
      <c r="F15" s="12" t="s">
        <v>477</v>
      </c>
      <c r="G15" s="12" t="n">
        <v>3</v>
      </c>
      <c r="H15" s="12" t="n">
        <v>0</v>
      </c>
      <c r="I15" s="12" t="n">
        <v>1</v>
      </c>
      <c r="J15" s="12" t="s">
        <v>108</v>
      </c>
      <c r="K15" s="12" t="s">
        <v>388</v>
      </c>
      <c r="L15" s="12" t="s">
        <v>389</v>
      </c>
    </row>
    <row r="16" customFormat="false" ht="15" hidden="false" customHeight="false" outlineLevel="0" collapsed="false">
      <c r="A16" s="12" t="s">
        <v>668</v>
      </c>
      <c r="B16" s="12" t="s">
        <v>138</v>
      </c>
      <c r="C16" s="12" t="s">
        <v>132</v>
      </c>
      <c r="D16" s="12" t="s">
        <v>59</v>
      </c>
      <c r="E16" s="12" t="s">
        <v>453</v>
      </c>
      <c r="F16" s="12" t="s">
        <v>454</v>
      </c>
      <c r="G16" s="12" t="n">
        <v>3</v>
      </c>
      <c r="H16" s="12" t="n">
        <v>0</v>
      </c>
      <c r="I16" s="12" t="n">
        <v>1</v>
      </c>
      <c r="J16" s="12" t="s">
        <v>118</v>
      </c>
      <c r="K16" s="12" t="s">
        <v>456</v>
      </c>
      <c r="L16" s="12" t="s">
        <v>389</v>
      </c>
    </row>
    <row r="17" customFormat="false" ht="15" hidden="false" customHeight="false" outlineLevel="0" collapsed="false">
      <c r="A17" s="12" t="s">
        <v>669</v>
      </c>
      <c r="B17" s="12" t="s">
        <v>138</v>
      </c>
      <c r="C17" s="12" t="s">
        <v>132</v>
      </c>
      <c r="D17" s="12" t="s">
        <v>59</v>
      </c>
      <c r="E17" s="12" t="s">
        <v>458</v>
      </c>
      <c r="F17" s="12" t="s">
        <v>459</v>
      </c>
      <c r="G17" s="12" t="n">
        <v>2</v>
      </c>
      <c r="H17" s="12" t="n">
        <v>0</v>
      </c>
      <c r="I17" s="12" t="n">
        <v>1</v>
      </c>
      <c r="J17" s="12" t="s">
        <v>118</v>
      </c>
      <c r="K17" s="12" t="s">
        <v>460</v>
      </c>
      <c r="L17" s="12" t="s">
        <v>389</v>
      </c>
    </row>
    <row r="18" customFormat="false" ht="15" hidden="false" customHeight="false" outlineLevel="0" collapsed="false">
      <c r="A18" s="12" t="s">
        <v>670</v>
      </c>
      <c r="B18" s="12" t="s">
        <v>138</v>
      </c>
      <c r="C18" s="12" t="s">
        <v>132</v>
      </c>
      <c r="D18" s="12" t="s">
        <v>59</v>
      </c>
      <c r="E18" s="12" t="s">
        <v>468</v>
      </c>
      <c r="F18" s="12" t="s">
        <v>469</v>
      </c>
      <c r="G18" s="12" t="n">
        <v>3</v>
      </c>
      <c r="H18" s="12" t="n">
        <v>0</v>
      </c>
      <c r="I18" s="12" t="n">
        <v>1</v>
      </c>
      <c r="J18" s="12" t="s">
        <v>118</v>
      </c>
      <c r="K18" s="12" t="s">
        <v>661</v>
      </c>
      <c r="L18" s="12" t="s">
        <v>418</v>
      </c>
    </row>
    <row r="19" customFormat="false" ht="15" hidden="false" customHeight="false" outlineLevel="0" collapsed="false">
      <c r="A19" s="12" t="s">
        <v>671</v>
      </c>
      <c r="B19" s="12" t="s">
        <v>138</v>
      </c>
      <c r="C19" s="12" t="s">
        <v>132</v>
      </c>
      <c r="D19" s="12" t="s">
        <v>59</v>
      </c>
      <c r="E19" s="12" t="s">
        <v>478</v>
      </c>
      <c r="F19" s="12" t="s">
        <v>479</v>
      </c>
      <c r="G19" s="12" t="n">
        <v>1</v>
      </c>
      <c r="H19" s="12" t="n">
        <v>0</v>
      </c>
      <c r="I19" s="12" t="n">
        <v>1</v>
      </c>
      <c r="J19" s="12" t="s">
        <v>480</v>
      </c>
      <c r="K19" s="12" t="s">
        <v>388</v>
      </c>
      <c r="L19" s="12" t="s">
        <v>389</v>
      </c>
    </row>
    <row r="20" customFormat="false" ht="15" hidden="false" customHeight="false" outlineLevel="0" collapsed="false">
      <c r="A20" s="12" t="s">
        <v>672</v>
      </c>
      <c r="B20" s="12" t="s">
        <v>143</v>
      </c>
      <c r="C20" s="12" t="s">
        <v>144</v>
      </c>
      <c r="D20" s="12" t="s">
        <v>59</v>
      </c>
      <c r="E20" s="12" t="s">
        <v>384</v>
      </c>
      <c r="F20" s="12" t="s">
        <v>385</v>
      </c>
      <c r="G20" s="12" t="n">
        <v>6</v>
      </c>
      <c r="H20" s="12" t="n">
        <v>0</v>
      </c>
      <c r="I20" s="12" t="n">
        <v>2</v>
      </c>
      <c r="J20" s="12" t="s">
        <v>108</v>
      </c>
      <c r="K20" s="12" t="s">
        <v>388</v>
      </c>
      <c r="L20" s="12" t="s">
        <v>389</v>
      </c>
    </row>
    <row r="21" customFormat="false" ht="15" hidden="false" customHeight="false" outlineLevel="0" collapsed="false">
      <c r="A21" s="12" t="s">
        <v>673</v>
      </c>
      <c r="B21" s="12" t="s">
        <v>143</v>
      </c>
      <c r="C21" s="12" t="s">
        <v>144</v>
      </c>
      <c r="D21" s="12" t="s">
        <v>59</v>
      </c>
      <c r="E21" s="12" t="s">
        <v>392</v>
      </c>
      <c r="F21" s="12" t="s">
        <v>393</v>
      </c>
      <c r="G21" s="12" t="n">
        <v>4</v>
      </c>
      <c r="H21" s="12" t="n">
        <v>0</v>
      </c>
      <c r="I21" s="12" t="n">
        <v>1</v>
      </c>
      <c r="J21" s="12" t="s">
        <v>108</v>
      </c>
      <c r="K21" s="12" t="s">
        <v>388</v>
      </c>
      <c r="L21" s="12" t="s">
        <v>389</v>
      </c>
    </row>
    <row r="22" customFormat="false" ht="15" hidden="false" customHeight="false" outlineLevel="0" collapsed="false">
      <c r="A22" s="12" t="s">
        <v>674</v>
      </c>
      <c r="B22" s="12" t="s">
        <v>143</v>
      </c>
      <c r="C22" s="12" t="s">
        <v>144</v>
      </c>
      <c r="D22" s="12" t="s">
        <v>59</v>
      </c>
      <c r="E22" s="12" t="s">
        <v>400</v>
      </c>
      <c r="F22" s="12" t="s">
        <v>401</v>
      </c>
      <c r="G22" s="12" t="n">
        <v>5</v>
      </c>
      <c r="H22" s="12" t="n">
        <v>0</v>
      </c>
      <c r="I22" s="12" t="n">
        <v>1</v>
      </c>
      <c r="J22" s="12" t="s">
        <v>108</v>
      </c>
      <c r="K22" s="12" t="s">
        <v>388</v>
      </c>
      <c r="L22" s="12" t="s">
        <v>389</v>
      </c>
    </row>
    <row r="23" customFormat="false" ht="15" hidden="false" customHeight="false" outlineLevel="0" collapsed="false">
      <c r="A23" s="12" t="s">
        <v>675</v>
      </c>
      <c r="B23" s="12" t="s">
        <v>143</v>
      </c>
      <c r="C23" s="12" t="s">
        <v>144</v>
      </c>
      <c r="D23" s="12" t="s">
        <v>59</v>
      </c>
      <c r="E23" s="12" t="s">
        <v>404</v>
      </c>
      <c r="F23" s="12" t="s">
        <v>405</v>
      </c>
      <c r="G23" s="12" t="n">
        <v>3</v>
      </c>
      <c r="H23" s="12" t="n">
        <v>0</v>
      </c>
      <c r="I23" s="12" t="n">
        <v>1</v>
      </c>
      <c r="J23" s="12" t="s">
        <v>108</v>
      </c>
      <c r="K23" s="12" t="s">
        <v>388</v>
      </c>
      <c r="L23" s="12" t="s">
        <v>389</v>
      </c>
    </row>
    <row r="24" customFormat="false" ht="15" hidden="false" customHeight="false" outlineLevel="0" collapsed="false">
      <c r="A24" s="12" t="s">
        <v>676</v>
      </c>
      <c r="B24" s="12" t="s">
        <v>143</v>
      </c>
      <c r="C24" s="12" t="s">
        <v>144</v>
      </c>
      <c r="D24" s="12" t="s">
        <v>59</v>
      </c>
      <c r="E24" s="12" t="s">
        <v>476</v>
      </c>
      <c r="F24" s="12" t="s">
        <v>477</v>
      </c>
      <c r="G24" s="12" t="n">
        <v>3</v>
      </c>
      <c r="H24" s="12" t="n">
        <v>0</v>
      </c>
      <c r="I24" s="12" t="n">
        <v>1</v>
      </c>
      <c r="J24" s="12" t="s">
        <v>108</v>
      </c>
      <c r="K24" s="12" t="s">
        <v>388</v>
      </c>
      <c r="L24" s="12" t="s">
        <v>389</v>
      </c>
    </row>
    <row r="25" customFormat="false" ht="15" hidden="false" customHeight="false" outlineLevel="0" collapsed="false">
      <c r="A25" s="12" t="s">
        <v>677</v>
      </c>
      <c r="B25" s="12" t="s">
        <v>143</v>
      </c>
      <c r="C25" s="12" t="s">
        <v>144</v>
      </c>
      <c r="D25" s="12" t="s">
        <v>59</v>
      </c>
      <c r="E25" s="12" t="s">
        <v>453</v>
      </c>
      <c r="F25" s="12" t="s">
        <v>454</v>
      </c>
      <c r="G25" s="12" t="n">
        <v>3</v>
      </c>
      <c r="H25" s="12" t="n">
        <v>0</v>
      </c>
      <c r="I25" s="12" t="n">
        <v>1</v>
      </c>
      <c r="J25" s="12" t="s">
        <v>118</v>
      </c>
      <c r="K25" s="12" t="s">
        <v>456</v>
      </c>
      <c r="L25" s="12" t="s">
        <v>389</v>
      </c>
    </row>
    <row r="26" customFormat="false" ht="15" hidden="false" customHeight="false" outlineLevel="0" collapsed="false">
      <c r="A26" s="12" t="s">
        <v>678</v>
      </c>
      <c r="B26" s="12" t="s">
        <v>143</v>
      </c>
      <c r="C26" s="12" t="s">
        <v>144</v>
      </c>
      <c r="D26" s="12" t="s">
        <v>59</v>
      </c>
      <c r="E26" s="12" t="s">
        <v>458</v>
      </c>
      <c r="F26" s="12" t="s">
        <v>459</v>
      </c>
      <c r="G26" s="12" t="n">
        <v>2</v>
      </c>
      <c r="H26" s="12" t="n">
        <v>0</v>
      </c>
      <c r="I26" s="12" t="n">
        <v>1</v>
      </c>
      <c r="J26" s="12" t="s">
        <v>118</v>
      </c>
      <c r="K26" s="12" t="s">
        <v>460</v>
      </c>
      <c r="L26" s="12" t="s">
        <v>389</v>
      </c>
    </row>
    <row r="27" customFormat="false" ht="15" hidden="false" customHeight="false" outlineLevel="0" collapsed="false">
      <c r="A27" s="12" t="s">
        <v>679</v>
      </c>
      <c r="B27" s="12" t="s">
        <v>143</v>
      </c>
      <c r="C27" s="12" t="s">
        <v>144</v>
      </c>
      <c r="D27" s="12" t="s">
        <v>59</v>
      </c>
      <c r="E27" s="12" t="s">
        <v>468</v>
      </c>
      <c r="F27" s="12" t="s">
        <v>469</v>
      </c>
      <c r="G27" s="12" t="n">
        <v>3</v>
      </c>
      <c r="H27" s="12" t="n">
        <v>0</v>
      </c>
      <c r="I27" s="12" t="n">
        <v>1</v>
      </c>
      <c r="J27" s="12" t="s">
        <v>118</v>
      </c>
      <c r="K27" s="12" t="s">
        <v>661</v>
      </c>
      <c r="L27" s="12" t="s">
        <v>418</v>
      </c>
    </row>
    <row r="28" customFormat="false" ht="15" hidden="false" customHeight="false" outlineLevel="0" collapsed="false">
      <c r="A28" s="12" t="s">
        <v>680</v>
      </c>
      <c r="B28" s="12" t="s">
        <v>143</v>
      </c>
      <c r="C28" s="12" t="s">
        <v>144</v>
      </c>
      <c r="D28" s="12" t="s">
        <v>59</v>
      </c>
      <c r="E28" s="12" t="s">
        <v>478</v>
      </c>
      <c r="F28" s="12" t="s">
        <v>479</v>
      </c>
      <c r="G28" s="12" t="n">
        <v>1</v>
      </c>
      <c r="H28" s="12" t="n">
        <v>0</v>
      </c>
      <c r="I28" s="12" t="n">
        <v>1</v>
      </c>
      <c r="J28" s="12" t="s">
        <v>480</v>
      </c>
      <c r="K28" s="12" t="s">
        <v>388</v>
      </c>
      <c r="L28" s="12" t="s">
        <v>389</v>
      </c>
    </row>
    <row r="29" customFormat="false" ht="15" hidden="false" customHeight="false" outlineLevel="0" collapsed="false">
      <c r="A29" s="12" t="s">
        <v>681</v>
      </c>
      <c r="B29" s="12" t="s">
        <v>148</v>
      </c>
      <c r="C29" s="12" t="s">
        <v>144</v>
      </c>
      <c r="D29" s="12" t="s">
        <v>59</v>
      </c>
      <c r="E29" s="12" t="s">
        <v>384</v>
      </c>
      <c r="F29" s="12" t="s">
        <v>385</v>
      </c>
      <c r="G29" s="12" t="n">
        <v>6</v>
      </c>
      <c r="H29" s="12" t="n">
        <v>0</v>
      </c>
      <c r="I29" s="12" t="n">
        <v>2</v>
      </c>
      <c r="J29" s="12" t="s">
        <v>108</v>
      </c>
      <c r="K29" s="12" t="s">
        <v>388</v>
      </c>
      <c r="L29" s="12" t="s">
        <v>389</v>
      </c>
    </row>
    <row r="30" customFormat="false" ht="15" hidden="false" customHeight="false" outlineLevel="0" collapsed="false">
      <c r="A30" s="12" t="s">
        <v>682</v>
      </c>
      <c r="B30" s="12" t="s">
        <v>148</v>
      </c>
      <c r="C30" s="12" t="s">
        <v>144</v>
      </c>
      <c r="D30" s="12" t="s">
        <v>59</v>
      </c>
      <c r="E30" s="12" t="s">
        <v>392</v>
      </c>
      <c r="F30" s="12" t="s">
        <v>393</v>
      </c>
      <c r="G30" s="12" t="n">
        <v>4</v>
      </c>
      <c r="H30" s="12" t="n">
        <v>0</v>
      </c>
      <c r="I30" s="12" t="n">
        <v>1</v>
      </c>
      <c r="J30" s="12" t="s">
        <v>108</v>
      </c>
      <c r="K30" s="12" t="s">
        <v>388</v>
      </c>
      <c r="L30" s="12" t="s">
        <v>389</v>
      </c>
    </row>
    <row r="31" customFormat="false" ht="15" hidden="false" customHeight="false" outlineLevel="0" collapsed="false">
      <c r="A31" s="12" t="s">
        <v>683</v>
      </c>
      <c r="B31" s="12" t="s">
        <v>148</v>
      </c>
      <c r="C31" s="12" t="s">
        <v>144</v>
      </c>
      <c r="D31" s="12" t="s">
        <v>59</v>
      </c>
      <c r="E31" s="12" t="s">
        <v>400</v>
      </c>
      <c r="F31" s="12" t="s">
        <v>401</v>
      </c>
      <c r="G31" s="12" t="n">
        <v>5</v>
      </c>
      <c r="H31" s="12" t="n">
        <v>0</v>
      </c>
      <c r="I31" s="12" t="n">
        <v>1</v>
      </c>
      <c r="J31" s="12" t="s">
        <v>108</v>
      </c>
      <c r="K31" s="12" t="s">
        <v>388</v>
      </c>
      <c r="L31" s="12" t="s">
        <v>389</v>
      </c>
    </row>
    <row r="32" customFormat="false" ht="15" hidden="false" customHeight="false" outlineLevel="0" collapsed="false">
      <c r="A32" s="12" t="s">
        <v>684</v>
      </c>
      <c r="B32" s="12" t="s">
        <v>148</v>
      </c>
      <c r="C32" s="12" t="s">
        <v>144</v>
      </c>
      <c r="D32" s="12" t="s">
        <v>59</v>
      </c>
      <c r="E32" s="12" t="s">
        <v>404</v>
      </c>
      <c r="F32" s="12" t="s">
        <v>405</v>
      </c>
      <c r="G32" s="12" t="n">
        <v>3</v>
      </c>
      <c r="H32" s="12" t="n">
        <v>0</v>
      </c>
      <c r="I32" s="12" t="n">
        <v>1</v>
      </c>
      <c r="J32" s="12" t="s">
        <v>108</v>
      </c>
      <c r="K32" s="12" t="s">
        <v>388</v>
      </c>
      <c r="L32" s="12" t="s">
        <v>389</v>
      </c>
    </row>
    <row r="33" customFormat="false" ht="15" hidden="false" customHeight="false" outlineLevel="0" collapsed="false">
      <c r="A33" s="12" t="s">
        <v>685</v>
      </c>
      <c r="B33" s="12" t="s">
        <v>148</v>
      </c>
      <c r="C33" s="12" t="s">
        <v>144</v>
      </c>
      <c r="D33" s="12" t="s">
        <v>59</v>
      </c>
      <c r="E33" s="12" t="s">
        <v>476</v>
      </c>
      <c r="F33" s="12" t="s">
        <v>477</v>
      </c>
      <c r="G33" s="12" t="n">
        <v>3</v>
      </c>
      <c r="H33" s="12" t="n">
        <v>0</v>
      </c>
      <c r="I33" s="12" t="n">
        <v>1</v>
      </c>
      <c r="J33" s="12" t="s">
        <v>108</v>
      </c>
      <c r="K33" s="12" t="s">
        <v>388</v>
      </c>
      <c r="L33" s="12" t="s">
        <v>389</v>
      </c>
    </row>
    <row r="34" customFormat="false" ht="15" hidden="false" customHeight="false" outlineLevel="0" collapsed="false">
      <c r="A34" s="12" t="s">
        <v>686</v>
      </c>
      <c r="B34" s="12" t="s">
        <v>148</v>
      </c>
      <c r="C34" s="12" t="s">
        <v>144</v>
      </c>
      <c r="D34" s="12" t="s">
        <v>59</v>
      </c>
      <c r="E34" s="12" t="s">
        <v>453</v>
      </c>
      <c r="F34" s="12" t="s">
        <v>454</v>
      </c>
      <c r="G34" s="12" t="n">
        <v>3</v>
      </c>
      <c r="H34" s="12" t="n">
        <v>0</v>
      </c>
      <c r="I34" s="12" t="n">
        <v>1</v>
      </c>
      <c r="J34" s="12" t="s">
        <v>118</v>
      </c>
      <c r="K34" s="12" t="s">
        <v>456</v>
      </c>
      <c r="L34" s="12" t="s">
        <v>389</v>
      </c>
    </row>
    <row r="35" customFormat="false" ht="15" hidden="false" customHeight="false" outlineLevel="0" collapsed="false">
      <c r="A35" s="12" t="s">
        <v>687</v>
      </c>
      <c r="B35" s="12" t="s">
        <v>148</v>
      </c>
      <c r="C35" s="12" t="s">
        <v>144</v>
      </c>
      <c r="D35" s="12" t="s">
        <v>59</v>
      </c>
      <c r="E35" s="12" t="s">
        <v>458</v>
      </c>
      <c r="F35" s="12" t="s">
        <v>459</v>
      </c>
      <c r="G35" s="12" t="n">
        <v>2</v>
      </c>
      <c r="H35" s="12" t="n">
        <v>0</v>
      </c>
      <c r="I35" s="12" t="n">
        <v>1</v>
      </c>
      <c r="J35" s="12" t="s">
        <v>118</v>
      </c>
      <c r="K35" s="12" t="s">
        <v>460</v>
      </c>
      <c r="L35" s="12" t="s">
        <v>389</v>
      </c>
    </row>
    <row r="36" customFormat="false" ht="15" hidden="false" customHeight="false" outlineLevel="0" collapsed="false">
      <c r="A36" s="12" t="s">
        <v>688</v>
      </c>
      <c r="B36" s="12" t="s">
        <v>148</v>
      </c>
      <c r="C36" s="12" t="s">
        <v>144</v>
      </c>
      <c r="D36" s="12" t="s">
        <v>59</v>
      </c>
      <c r="E36" s="12" t="s">
        <v>468</v>
      </c>
      <c r="F36" s="12" t="s">
        <v>469</v>
      </c>
      <c r="G36" s="12" t="n">
        <v>3</v>
      </c>
      <c r="H36" s="12" t="n">
        <v>0</v>
      </c>
      <c r="I36" s="12" t="n">
        <v>1</v>
      </c>
      <c r="J36" s="12" t="s">
        <v>118</v>
      </c>
      <c r="K36" s="12" t="s">
        <v>661</v>
      </c>
      <c r="L36" s="12" t="s">
        <v>418</v>
      </c>
    </row>
    <row r="37" customFormat="false" ht="15" hidden="false" customHeight="false" outlineLevel="0" collapsed="false">
      <c r="A37" s="12" t="s">
        <v>689</v>
      </c>
      <c r="B37" s="12" t="s">
        <v>148</v>
      </c>
      <c r="C37" s="12" t="s">
        <v>144</v>
      </c>
      <c r="D37" s="12" t="s">
        <v>59</v>
      </c>
      <c r="E37" s="12" t="s">
        <v>478</v>
      </c>
      <c r="F37" s="12" t="s">
        <v>479</v>
      </c>
      <c r="G37" s="12" t="n">
        <v>1</v>
      </c>
      <c r="H37" s="12" t="n">
        <v>0</v>
      </c>
      <c r="I37" s="12" t="n">
        <v>1</v>
      </c>
      <c r="J37" s="12" t="s">
        <v>480</v>
      </c>
      <c r="K37" s="12" t="s">
        <v>388</v>
      </c>
      <c r="L37" s="12" t="s">
        <v>389</v>
      </c>
    </row>
    <row r="38" customFormat="false" ht="15" hidden="false" customHeight="false" outlineLevel="0" collapsed="false">
      <c r="A38" s="12" t="s">
        <v>690</v>
      </c>
      <c r="B38" s="12" t="s">
        <v>152</v>
      </c>
      <c r="C38" s="12" t="s">
        <v>144</v>
      </c>
      <c r="D38" s="12" t="s">
        <v>59</v>
      </c>
      <c r="E38" s="12" t="s">
        <v>384</v>
      </c>
      <c r="F38" s="12" t="s">
        <v>385</v>
      </c>
      <c r="G38" s="12" t="n">
        <v>6</v>
      </c>
      <c r="H38" s="12" t="n">
        <v>0</v>
      </c>
      <c r="I38" s="12" t="n">
        <v>2</v>
      </c>
      <c r="J38" s="12" t="s">
        <v>108</v>
      </c>
      <c r="K38" s="12" t="s">
        <v>388</v>
      </c>
      <c r="L38" s="12" t="s">
        <v>389</v>
      </c>
    </row>
    <row r="39" customFormat="false" ht="15" hidden="false" customHeight="false" outlineLevel="0" collapsed="false">
      <c r="A39" s="12" t="s">
        <v>691</v>
      </c>
      <c r="B39" s="12" t="s">
        <v>152</v>
      </c>
      <c r="C39" s="12" t="s">
        <v>144</v>
      </c>
      <c r="D39" s="12" t="s">
        <v>59</v>
      </c>
      <c r="E39" s="12" t="s">
        <v>392</v>
      </c>
      <c r="F39" s="12" t="s">
        <v>393</v>
      </c>
      <c r="G39" s="12" t="n">
        <v>4</v>
      </c>
      <c r="H39" s="12" t="n">
        <v>0</v>
      </c>
      <c r="I39" s="12" t="n">
        <v>1</v>
      </c>
      <c r="J39" s="12" t="s">
        <v>108</v>
      </c>
      <c r="K39" s="12" t="s">
        <v>388</v>
      </c>
      <c r="L39" s="12" t="s">
        <v>389</v>
      </c>
    </row>
    <row r="40" customFormat="false" ht="15" hidden="false" customHeight="false" outlineLevel="0" collapsed="false">
      <c r="A40" s="12" t="s">
        <v>692</v>
      </c>
      <c r="B40" s="12" t="s">
        <v>152</v>
      </c>
      <c r="C40" s="12" t="s">
        <v>144</v>
      </c>
      <c r="D40" s="12" t="s">
        <v>59</v>
      </c>
      <c r="E40" s="12" t="s">
        <v>400</v>
      </c>
      <c r="F40" s="12" t="s">
        <v>401</v>
      </c>
      <c r="G40" s="12" t="n">
        <v>5</v>
      </c>
      <c r="H40" s="12" t="n">
        <v>0</v>
      </c>
      <c r="I40" s="12" t="n">
        <v>1</v>
      </c>
      <c r="J40" s="12" t="s">
        <v>108</v>
      </c>
      <c r="K40" s="12" t="s">
        <v>388</v>
      </c>
      <c r="L40" s="12" t="s">
        <v>389</v>
      </c>
    </row>
    <row r="41" customFormat="false" ht="15" hidden="false" customHeight="false" outlineLevel="0" collapsed="false">
      <c r="A41" s="12" t="s">
        <v>693</v>
      </c>
      <c r="B41" s="12" t="s">
        <v>152</v>
      </c>
      <c r="C41" s="12" t="s">
        <v>144</v>
      </c>
      <c r="D41" s="12" t="s">
        <v>59</v>
      </c>
      <c r="E41" s="12" t="s">
        <v>404</v>
      </c>
      <c r="F41" s="12" t="s">
        <v>405</v>
      </c>
      <c r="G41" s="12" t="n">
        <v>3</v>
      </c>
      <c r="H41" s="12" t="n">
        <v>0</v>
      </c>
      <c r="I41" s="12" t="n">
        <v>1</v>
      </c>
      <c r="J41" s="12" t="s">
        <v>108</v>
      </c>
      <c r="K41" s="12" t="s">
        <v>388</v>
      </c>
      <c r="L41" s="12" t="s">
        <v>389</v>
      </c>
    </row>
    <row r="42" customFormat="false" ht="15" hidden="false" customHeight="false" outlineLevel="0" collapsed="false">
      <c r="A42" s="12" t="s">
        <v>694</v>
      </c>
      <c r="B42" s="12" t="s">
        <v>152</v>
      </c>
      <c r="C42" s="12" t="s">
        <v>144</v>
      </c>
      <c r="D42" s="12" t="s">
        <v>59</v>
      </c>
      <c r="E42" s="12" t="s">
        <v>476</v>
      </c>
      <c r="F42" s="12" t="s">
        <v>477</v>
      </c>
      <c r="G42" s="12" t="n">
        <v>3</v>
      </c>
      <c r="H42" s="12" t="n">
        <v>0</v>
      </c>
      <c r="I42" s="12" t="n">
        <v>1</v>
      </c>
      <c r="J42" s="12" t="s">
        <v>108</v>
      </c>
      <c r="K42" s="12" t="s">
        <v>388</v>
      </c>
      <c r="L42" s="12" t="s">
        <v>389</v>
      </c>
    </row>
    <row r="43" customFormat="false" ht="15" hidden="false" customHeight="false" outlineLevel="0" collapsed="false">
      <c r="A43" s="12" t="s">
        <v>695</v>
      </c>
      <c r="B43" s="12" t="s">
        <v>152</v>
      </c>
      <c r="C43" s="12" t="s">
        <v>144</v>
      </c>
      <c r="D43" s="12" t="s">
        <v>59</v>
      </c>
      <c r="E43" s="12" t="s">
        <v>453</v>
      </c>
      <c r="F43" s="12" t="s">
        <v>454</v>
      </c>
      <c r="G43" s="12" t="n">
        <v>3</v>
      </c>
      <c r="H43" s="12" t="n">
        <v>0</v>
      </c>
      <c r="I43" s="12" t="n">
        <v>1</v>
      </c>
      <c r="J43" s="12" t="s">
        <v>118</v>
      </c>
      <c r="K43" s="12" t="s">
        <v>456</v>
      </c>
      <c r="L43" s="12" t="s">
        <v>389</v>
      </c>
    </row>
    <row r="44" customFormat="false" ht="15" hidden="false" customHeight="false" outlineLevel="0" collapsed="false">
      <c r="A44" s="12" t="s">
        <v>696</v>
      </c>
      <c r="B44" s="12" t="s">
        <v>152</v>
      </c>
      <c r="C44" s="12" t="s">
        <v>144</v>
      </c>
      <c r="D44" s="12" t="s">
        <v>59</v>
      </c>
      <c r="E44" s="12" t="s">
        <v>458</v>
      </c>
      <c r="F44" s="12" t="s">
        <v>459</v>
      </c>
      <c r="G44" s="12" t="n">
        <v>2</v>
      </c>
      <c r="H44" s="12" t="n">
        <v>0</v>
      </c>
      <c r="I44" s="12" t="n">
        <v>1</v>
      </c>
      <c r="J44" s="12" t="s">
        <v>118</v>
      </c>
      <c r="K44" s="12" t="s">
        <v>460</v>
      </c>
      <c r="L44" s="12" t="s">
        <v>389</v>
      </c>
    </row>
    <row r="45" customFormat="false" ht="15" hidden="false" customHeight="false" outlineLevel="0" collapsed="false">
      <c r="A45" s="12" t="s">
        <v>697</v>
      </c>
      <c r="B45" s="12" t="s">
        <v>152</v>
      </c>
      <c r="C45" s="12" t="s">
        <v>144</v>
      </c>
      <c r="D45" s="12" t="s">
        <v>59</v>
      </c>
      <c r="E45" s="12" t="s">
        <v>468</v>
      </c>
      <c r="F45" s="12" t="s">
        <v>469</v>
      </c>
      <c r="G45" s="12" t="n">
        <v>3</v>
      </c>
      <c r="H45" s="12" t="n">
        <v>0</v>
      </c>
      <c r="I45" s="12" t="n">
        <v>1</v>
      </c>
      <c r="J45" s="12" t="s">
        <v>118</v>
      </c>
      <c r="K45" s="12" t="s">
        <v>661</v>
      </c>
      <c r="L45" s="12" t="s">
        <v>418</v>
      </c>
    </row>
    <row r="46" customFormat="false" ht="15" hidden="false" customHeight="false" outlineLevel="0" collapsed="false">
      <c r="A46" s="12" t="s">
        <v>698</v>
      </c>
      <c r="B46" s="12" t="s">
        <v>152</v>
      </c>
      <c r="C46" s="12" t="s">
        <v>144</v>
      </c>
      <c r="D46" s="12" t="s">
        <v>59</v>
      </c>
      <c r="E46" s="12" t="s">
        <v>478</v>
      </c>
      <c r="F46" s="12" t="s">
        <v>479</v>
      </c>
      <c r="G46" s="12" t="n">
        <v>1</v>
      </c>
      <c r="H46" s="12" t="n">
        <v>0</v>
      </c>
      <c r="I46" s="12" t="n">
        <v>1</v>
      </c>
      <c r="J46" s="12" t="s">
        <v>480</v>
      </c>
      <c r="K46" s="12" t="s">
        <v>388</v>
      </c>
      <c r="L46" s="12" t="s">
        <v>389</v>
      </c>
    </row>
    <row r="47" customFormat="false" ht="15" hidden="false" customHeight="false" outlineLevel="0" collapsed="false">
      <c r="A47" s="12" t="s">
        <v>699</v>
      </c>
      <c r="B47" s="12" t="s">
        <v>157</v>
      </c>
      <c r="C47" s="12" t="s">
        <v>158</v>
      </c>
      <c r="D47" s="12" t="s">
        <v>59</v>
      </c>
      <c r="E47" s="12" t="s">
        <v>384</v>
      </c>
      <c r="F47" s="12" t="s">
        <v>385</v>
      </c>
      <c r="G47" s="12" t="n">
        <v>6</v>
      </c>
      <c r="H47" s="12" t="n">
        <v>0</v>
      </c>
      <c r="I47" s="12" t="n">
        <v>2</v>
      </c>
      <c r="J47" s="12" t="s">
        <v>108</v>
      </c>
      <c r="K47" s="12" t="s">
        <v>388</v>
      </c>
      <c r="L47" s="12" t="s">
        <v>389</v>
      </c>
    </row>
    <row r="48" customFormat="false" ht="15" hidden="false" customHeight="false" outlineLevel="0" collapsed="false">
      <c r="A48" s="12" t="s">
        <v>700</v>
      </c>
      <c r="B48" s="12" t="s">
        <v>157</v>
      </c>
      <c r="C48" s="12" t="s">
        <v>158</v>
      </c>
      <c r="D48" s="12" t="s">
        <v>59</v>
      </c>
      <c r="E48" s="12" t="s">
        <v>392</v>
      </c>
      <c r="F48" s="12" t="s">
        <v>393</v>
      </c>
      <c r="G48" s="12" t="n">
        <v>4</v>
      </c>
      <c r="H48" s="12" t="n">
        <v>0</v>
      </c>
      <c r="I48" s="12" t="n">
        <v>1</v>
      </c>
      <c r="J48" s="12" t="s">
        <v>108</v>
      </c>
      <c r="K48" s="12" t="s">
        <v>388</v>
      </c>
      <c r="L48" s="12" t="s">
        <v>389</v>
      </c>
    </row>
    <row r="49" customFormat="false" ht="15" hidden="false" customHeight="false" outlineLevel="0" collapsed="false">
      <c r="A49" s="12" t="s">
        <v>701</v>
      </c>
      <c r="B49" s="12" t="s">
        <v>157</v>
      </c>
      <c r="C49" s="12" t="s">
        <v>158</v>
      </c>
      <c r="D49" s="12" t="s">
        <v>59</v>
      </c>
      <c r="E49" s="12" t="s">
        <v>400</v>
      </c>
      <c r="F49" s="12" t="s">
        <v>401</v>
      </c>
      <c r="G49" s="12" t="n">
        <v>5</v>
      </c>
      <c r="H49" s="12" t="n">
        <v>0</v>
      </c>
      <c r="I49" s="12" t="n">
        <v>1</v>
      </c>
      <c r="J49" s="12" t="s">
        <v>108</v>
      </c>
      <c r="K49" s="12" t="s">
        <v>388</v>
      </c>
      <c r="L49" s="12" t="s">
        <v>389</v>
      </c>
    </row>
    <row r="50" customFormat="false" ht="15" hidden="false" customHeight="false" outlineLevel="0" collapsed="false">
      <c r="A50" s="12" t="s">
        <v>702</v>
      </c>
      <c r="B50" s="12" t="s">
        <v>157</v>
      </c>
      <c r="C50" s="12" t="s">
        <v>158</v>
      </c>
      <c r="D50" s="12" t="s">
        <v>59</v>
      </c>
      <c r="E50" s="12" t="s">
        <v>404</v>
      </c>
      <c r="F50" s="12" t="s">
        <v>405</v>
      </c>
      <c r="G50" s="12" t="n">
        <v>3</v>
      </c>
      <c r="H50" s="12" t="n">
        <v>0</v>
      </c>
      <c r="I50" s="12" t="n">
        <v>1</v>
      </c>
      <c r="J50" s="12" t="s">
        <v>108</v>
      </c>
      <c r="K50" s="12" t="s">
        <v>388</v>
      </c>
      <c r="L50" s="12" t="s">
        <v>389</v>
      </c>
    </row>
    <row r="51" customFormat="false" ht="15" hidden="false" customHeight="false" outlineLevel="0" collapsed="false">
      <c r="A51" s="12" t="s">
        <v>703</v>
      </c>
      <c r="B51" s="12" t="s">
        <v>157</v>
      </c>
      <c r="C51" s="12" t="s">
        <v>158</v>
      </c>
      <c r="D51" s="12" t="s">
        <v>59</v>
      </c>
      <c r="E51" s="12" t="s">
        <v>476</v>
      </c>
      <c r="F51" s="12" t="s">
        <v>477</v>
      </c>
      <c r="G51" s="12" t="n">
        <v>3</v>
      </c>
      <c r="H51" s="12" t="n">
        <v>0</v>
      </c>
      <c r="I51" s="12" t="n">
        <v>1</v>
      </c>
      <c r="J51" s="12" t="s">
        <v>108</v>
      </c>
      <c r="K51" s="12" t="s">
        <v>388</v>
      </c>
      <c r="L51" s="12" t="s">
        <v>389</v>
      </c>
    </row>
    <row r="52" customFormat="false" ht="15" hidden="false" customHeight="false" outlineLevel="0" collapsed="false">
      <c r="A52" s="12" t="s">
        <v>704</v>
      </c>
      <c r="B52" s="12" t="s">
        <v>157</v>
      </c>
      <c r="C52" s="12" t="s">
        <v>158</v>
      </c>
      <c r="D52" s="12" t="s">
        <v>59</v>
      </c>
      <c r="E52" s="12" t="s">
        <v>453</v>
      </c>
      <c r="F52" s="12" t="s">
        <v>454</v>
      </c>
      <c r="G52" s="12" t="n">
        <v>3</v>
      </c>
      <c r="H52" s="12" t="n">
        <v>0</v>
      </c>
      <c r="I52" s="12" t="n">
        <v>1</v>
      </c>
      <c r="J52" s="12" t="s">
        <v>118</v>
      </c>
      <c r="K52" s="12" t="s">
        <v>456</v>
      </c>
      <c r="L52" s="12" t="s">
        <v>389</v>
      </c>
    </row>
    <row r="53" customFormat="false" ht="15" hidden="false" customHeight="false" outlineLevel="0" collapsed="false">
      <c r="A53" s="12" t="s">
        <v>705</v>
      </c>
      <c r="B53" s="12" t="s">
        <v>157</v>
      </c>
      <c r="C53" s="12" t="s">
        <v>158</v>
      </c>
      <c r="D53" s="12" t="s">
        <v>59</v>
      </c>
      <c r="E53" s="12" t="s">
        <v>458</v>
      </c>
      <c r="F53" s="12" t="s">
        <v>459</v>
      </c>
      <c r="G53" s="12" t="n">
        <v>2</v>
      </c>
      <c r="H53" s="12" t="n">
        <v>0</v>
      </c>
      <c r="I53" s="12" t="n">
        <v>1</v>
      </c>
      <c r="J53" s="12" t="s">
        <v>118</v>
      </c>
      <c r="K53" s="12" t="s">
        <v>460</v>
      </c>
      <c r="L53" s="12" t="s">
        <v>389</v>
      </c>
    </row>
    <row r="54" customFormat="false" ht="15" hidden="false" customHeight="false" outlineLevel="0" collapsed="false">
      <c r="A54" s="12" t="s">
        <v>706</v>
      </c>
      <c r="B54" s="12" t="s">
        <v>157</v>
      </c>
      <c r="C54" s="12" t="s">
        <v>158</v>
      </c>
      <c r="D54" s="12" t="s">
        <v>59</v>
      </c>
      <c r="E54" s="12" t="s">
        <v>468</v>
      </c>
      <c r="F54" s="12" t="s">
        <v>469</v>
      </c>
      <c r="G54" s="12" t="n">
        <v>3</v>
      </c>
      <c r="H54" s="12" t="n">
        <v>0</v>
      </c>
      <c r="I54" s="12" t="n">
        <v>1</v>
      </c>
      <c r="J54" s="12" t="s">
        <v>118</v>
      </c>
      <c r="K54" s="12" t="s">
        <v>661</v>
      </c>
      <c r="L54" s="12" t="s">
        <v>418</v>
      </c>
    </row>
    <row r="55" customFormat="false" ht="15" hidden="false" customHeight="false" outlineLevel="0" collapsed="false">
      <c r="A55" s="12" t="s">
        <v>707</v>
      </c>
      <c r="B55" s="12" t="s">
        <v>157</v>
      </c>
      <c r="C55" s="12" t="s">
        <v>158</v>
      </c>
      <c r="D55" s="12" t="s">
        <v>59</v>
      </c>
      <c r="E55" s="12" t="s">
        <v>478</v>
      </c>
      <c r="F55" s="12" t="s">
        <v>479</v>
      </c>
      <c r="G55" s="12" t="n">
        <v>1</v>
      </c>
      <c r="H55" s="12" t="n">
        <v>0</v>
      </c>
      <c r="I55" s="12" t="n">
        <v>1</v>
      </c>
      <c r="J55" s="12" t="s">
        <v>480</v>
      </c>
      <c r="K55" s="12" t="s">
        <v>388</v>
      </c>
      <c r="L55" s="12" t="s">
        <v>389</v>
      </c>
    </row>
    <row r="56" customFormat="false" ht="15" hidden="false" customHeight="false" outlineLevel="0" collapsed="false">
      <c r="A56" s="12" t="s">
        <v>708</v>
      </c>
      <c r="B56" s="12" t="s">
        <v>162</v>
      </c>
      <c r="C56" s="12" t="s">
        <v>158</v>
      </c>
      <c r="D56" s="12" t="s">
        <v>59</v>
      </c>
      <c r="E56" s="12" t="s">
        <v>384</v>
      </c>
      <c r="F56" s="12" t="s">
        <v>385</v>
      </c>
      <c r="G56" s="12" t="n">
        <v>6</v>
      </c>
      <c r="H56" s="12" t="n">
        <v>0</v>
      </c>
      <c r="I56" s="12" t="n">
        <v>2</v>
      </c>
      <c r="J56" s="12" t="s">
        <v>108</v>
      </c>
      <c r="K56" s="12" t="s">
        <v>388</v>
      </c>
      <c r="L56" s="12" t="s">
        <v>389</v>
      </c>
    </row>
    <row r="57" customFormat="false" ht="15" hidden="false" customHeight="false" outlineLevel="0" collapsed="false">
      <c r="A57" s="12" t="s">
        <v>709</v>
      </c>
      <c r="B57" s="12" t="s">
        <v>162</v>
      </c>
      <c r="C57" s="12" t="s">
        <v>158</v>
      </c>
      <c r="D57" s="12" t="s">
        <v>59</v>
      </c>
      <c r="E57" s="12" t="s">
        <v>392</v>
      </c>
      <c r="F57" s="12" t="s">
        <v>393</v>
      </c>
      <c r="G57" s="12" t="n">
        <v>4</v>
      </c>
      <c r="H57" s="12" t="n">
        <v>0</v>
      </c>
      <c r="I57" s="12" t="n">
        <v>1</v>
      </c>
      <c r="J57" s="12" t="s">
        <v>108</v>
      </c>
      <c r="K57" s="12" t="s">
        <v>388</v>
      </c>
      <c r="L57" s="12" t="s">
        <v>389</v>
      </c>
    </row>
    <row r="58" customFormat="false" ht="15" hidden="false" customHeight="false" outlineLevel="0" collapsed="false">
      <c r="A58" s="12" t="s">
        <v>710</v>
      </c>
      <c r="B58" s="12" t="s">
        <v>162</v>
      </c>
      <c r="C58" s="12" t="s">
        <v>158</v>
      </c>
      <c r="D58" s="12" t="s">
        <v>59</v>
      </c>
      <c r="E58" s="12" t="s">
        <v>400</v>
      </c>
      <c r="F58" s="12" t="s">
        <v>401</v>
      </c>
      <c r="G58" s="12" t="n">
        <v>5</v>
      </c>
      <c r="H58" s="12" t="n">
        <v>0</v>
      </c>
      <c r="I58" s="12" t="n">
        <v>1</v>
      </c>
      <c r="J58" s="12" t="s">
        <v>108</v>
      </c>
      <c r="K58" s="12" t="s">
        <v>388</v>
      </c>
      <c r="L58" s="12" t="s">
        <v>389</v>
      </c>
    </row>
    <row r="59" customFormat="false" ht="15" hidden="false" customHeight="false" outlineLevel="0" collapsed="false">
      <c r="A59" s="12" t="s">
        <v>711</v>
      </c>
      <c r="B59" s="12" t="s">
        <v>162</v>
      </c>
      <c r="C59" s="12" t="s">
        <v>158</v>
      </c>
      <c r="D59" s="12" t="s">
        <v>59</v>
      </c>
      <c r="E59" s="12" t="s">
        <v>404</v>
      </c>
      <c r="F59" s="12" t="s">
        <v>405</v>
      </c>
      <c r="G59" s="12" t="n">
        <v>3</v>
      </c>
      <c r="H59" s="12" t="n">
        <v>0</v>
      </c>
      <c r="I59" s="12" t="n">
        <v>1</v>
      </c>
      <c r="J59" s="12" t="s">
        <v>108</v>
      </c>
      <c r="K59" s="12" t="s">
        <v>388</v>
      </c>
      <c r="L59" s="12" t="s">
        <v>389</v>
      </c>
    </row>
    <row r="60" customFormat="false" ht="15" hidden="false" customHeight="false" outlineLevel="0" collapsed="false">
      <c r="A60" s="12" t="s">
        <v>712</v>
      </c>
      <c r="B60" s="12" t="s">
        <v>162</v>
      </c>
      <c r="C60" s="12" t="s">
        <v>158</v>
      </c>
      <c r="D60" s="12" t="s">
        <v>59</v>
      </c>
      <c r="E60" s="12" t="s">
        <v>476</v>
      </c>
      <c r="F60" s="12" t="s">
        <v>477</v>
      </c>
      <c r="G60" s="12" t="n">
        <v>3</v>
      </c>
      <c r="H60" s="12" t="n">
        <v>0</v>
      </c>
      <c r="I60" s="12" t="n">
        <v>1</v>
      </c>
      <c r="J60" s="12" t="s">
        <v>108</v>
      </c>
      <c r="K60" s="12" t="s">
        <v>388</v>
      </c>
      <c r="L60" s="12" t="s">
        <v>389</v>
      </c>
    </row>
    <row r="61" customFormat="false" ht="15" hidden="false" customHeight="false" outlineLevel="0" collapsed="false">
      <c r="A61" s="12" t="s">
        <v>713</v>
      </c>
      <c r="B61" s="12" t="s">
        <v>162</v>
      </c>
      <c r="C61" s="12" t="s">
        <v>158</v>
      </c>
      <c r="D61" s="12" t="s">
        <v>59</v>
      </c>
      <c r="E61" s="12" t="s">
        <v>453</v>
      </c>
      <c r="F61" s="12" t="s">
        <v>454</v>
      </c>
      <c r="G61" s="12" t="n">
        <v>3</v>
      </c>
      <c r="H61" s="12" t="n">
        <v>0</v>
      </c>
      <c r="I61" s="12" t="n">
        <v>1</v>
      </c>
      <c r="J61" s="12" t="s">
        <v>118</v>
      </c>
      <c r="K61" s="12" t="s">
        <v>456</v>
      </c>
      <c r="L61" s="12" t="s">
        <v>389</v>
      </c>
    </row>
    <row r="62" customFormat="false" ht="15" hidden="false" customHeight="false" outlineLevel="0" collapsed="false">
      <c r="A62" s="12" t="s">
        <v>714</v>
      </c>
      <c r="B62" s="12" t="s">
        <v>162</v>
      </c>
      <c r="C62" s="12" t="s">
        <v>158</v>
      </c>
      <c r="D62" s="12" t="s">
        <v>59</v>
      </c>
      <c r="E62" s="12" t="s">
        <v>458</v>
      </c>
      <c r="F62" s="12" t="s">
        <v>459</v>
      </c>
      <c r="G62" s="12" t="n">
        <v>2</v>
      </c>
      <c r="H62" s="12" t="n">
        <v>0</v>
      </c>
      <c r="I62" s="12" t="n">
        <v>1</v>
      </c>
      <c r="J62" s="12" t="s">
        <v>118</v>
      </c>
      <c r="K62" s="12" t="s">
        <v>460</v>
      </c>
      <c r="L62" s="12" t="s">
        <v>389</v>
      </c>
    </row>
    <row r="63" customFormat="false" ht="15" hidden="false" customHeight="false" outlineLevel="0" collapsed="false">
      <c r="A63" s="12" t="s">
        <v>715</v>
      </c>
      <c r="B63" s="12" t="s">
        <v>162</v>
      </c>
      <c r="C63" s="12" t="s">
        <v>158</v>
      </c>
      <c r="D63" s="12" t="s">
        <v>59</v>
      </c>
      <c r="E63" s="12" t="s">
        <v>468</v>
      </c>
      <c r="F63" s="12" t="s">
        <v>469</v>
      </c>
      <c r="G63" s="12" t="n">
        <v>3</v>
      </c>
      <c r="H63" s="12" t="n">
        <v>0</v>
      </c>
      <c r="I63" s="12" t="n">
        <v>1</v>
      </c>
      <c r="J63" s="12" t="s">
        <v>118</v>
      </c>
      <c r="K63" s="12" t="s">
        <v>661</v>
      </c>
      <c r="L63" s="12" t="s">
        <v>418</v>
      </c>
    </row>
    <row r="64" customFormat="false" ht="15" hidden="false" customHeight="false" outlineLevel="0" collapsed="false">
      <c r="A64" s="12" t="s">
        <v>716</v>
      </c>
      <c r="B64" s="12" t="s">
        <v>162</v>
      </c>
      <c r="C64" s="12" t="s">
        <v>158</v>
      </c>
      <c r="D64" s="12" t="s">
        <v>59</v>
      </c>
      <c r="E64" s="12" t="s">
        <v>478</v>
      </c>
      <c r="F64" s="12" t="s">
        <v>479</v>
      </c>
      <c r="G64" s="12" t="n">
        <v>1</v>
      </c>
      <c r="H64" s="12" t="n">
        <v>0</v>
      </c>
      <c r="I64" s="12" t="n">
        <v>1</v>
      </c>
      <c r="J64" s="12" t="s">
        <v>480</v>
      </c>
      <c r="K64" s="12" t="s">
        <v>388</v>
      </c>
      <c r="L64" s="12" t="s">
        <v>389</v>
      </c>
    </row>
    <row r="65" customFormat="false" ht="15" hidden="false" customHeight="false" outlineLevel="0" collapsed="false">
      <c r="A65" s="12" t="s">
        <v>717</v>
      </c>
      <c r="B65" s="12" t="s">
        <v>166</v>
      </c>
      <c r="C65" s="12" t="s">
        <v>167</v>
      </c>
      <c r="D65" s="12" t="s">
        <v>63</v>
      </c>
      <c r="E65" s="12" t="s">
        <v>384</v>
      </c>
      <c r="F65" s="12" t="s">
        <v>385</v>
      </c>
      <c r="G65" s="12" t="n">
        <v>8</v>
      </c>
      <c r="H65" s="12" t="n">
        <v>0</v>
      </c>
      <c r="I65" s="12" t="n">
        <v>2</v>
      </c>
      <c r="J65" s="12" t="s">
        <v>111</v>
      </c>
      <c r="K65" s="12" t="s">
        <v>388</v>
      </c>
      <c r="L65" s="12" t="s">
        <v>389</v>
      </c>
    </row>
    <row r="66" customFormat="false" ht="15" hidden="false" customHeight="false" outlineLevel="0" collapsed="false">
      <c r="A66" s="12" t="s">
        <v>718</v>
      </c>
      <c r="B66" s="12" t="s">
        <v>166</v>
      </c>
      <c r="C66" s="12" t="s">
        <v>167</v>
      </c>
      <c r="D66" s="12" t="s">
        <v>63</v>
      </c>
      <c r="E66" s="12" t="s">
        <v>392</v>
      </c>
      <c r="F66" s="12" t="s">
        <v>393</v>
      </c>
      <c r="G66" s="12" t="n">
        <v>6</v>
      </c>
      <c r="H66" s="12" t="n">
        <v>0</v>
      </c>
      <c r="I66" s="12" t="n">
        <v>1</v>
      </c>
      <c r="J66" s="12" t="s">
        <v>111</v>
      </c>
      <c r="K66" s="12" t="s">
        <v>388</v>
      </c>
      <c r="L66" s="12" t="s">
        <v>389</v>
      </c>
    </row>
    <row r="67" customFormat="false" ht="15" hidden="false" customHeight="false" outlineLevel="0" collapsed="false">
      <c r="A67" s="12" t="s">
        <v>719</v>
      </c>
      <c r="B67" s="12" t="s">
        <v>166</v>
      </c>
      <c r="C67" s="12" t="s">
        <v>167</v>
      </c>
      <c r="D67" s="12" t="s">
        <v>63</v>
      </c>
      <c r="E67" s="12" t="s">
        <v>400</v>
      </c>
      <c r="F67" s="12" t="s">
        <v>401</v>
      </c>
      <c r="G67" s="12" t="n">
        <v>7</v>
      </c>
      <c r="H67" s="12" t="n">
        <v>0</v>
      </c>
      <c r="I67" s="12" t="n">
        <v>2</v>
      </c>
      <c r="J67" s="12" t="s">
        <v>111</v>
      </c>
      <c r="K67" s="12" t="s">
        <v>388</v>
      </c>
      <c r="L67" s="12" t="s">
        <v>389</v>
      </c>
    </row>
    <row r="68" customFormat="false" ht="15" hidden="false" customHeight="false" outlineLevel="0" collapsed="false">
      <c r="A68" s="12" t="s">
        <v>720</v>
      </c>
      <c r="B68" s="12" t="s">
        <v>166</v>
      </c>
      <c r="C68" s="12" t="s">
        <v>167</v>
      </c>
      <c r="D68" s="12" t="s">
        <v>63</v>
      </c>
      <c r="E68" s="12" t="s">
        <v>404</v>
      </c>
      <c r="F68" s="12" t="s">
        <v>405</v>
      </c>
      <c r="G68" s="12" t="n">
        <v>5</v>
      </c>
      <c r="H68" s="12" t="n">
        <v>0</v>
      </c>
      <c r="I68" s="12" t="n">
        <v>1</v>
      </c>
      <c r="J68" s="12" t="s">
        <v>111</v>
      </c>
      <c r="K68" s="12" t="s">
        <v>388</v>
      </c>
      <c r="L68" s="12" t="s">
        <v>389</v>
      </c>
    </row>
    <row r="69" customFormat="false" ht="15" hidden="false" customHeight="false" outlineLevel="0" collapsed="false">
      <c r="A69" s="12" t="s">
        <v>721</v>
      </c>
      <c r="B69" s="12" t="s">
        <v>166</v>
      </c>
      <c r="C69" s="12" t="s">
        <v>167</v>
      </c>
      <c r="D69" s="12" t="s">
        <v>63</v>
      </c>
      <c r="E69" s="12" t="s">
        <v>414</v>
      </c>
      <c r="F69" s="12" t="s">
        <v>415</v>
      </c>
      <c r="G69" s="12" t="n">
        <v>2</v>
      </c>
      <c r="H69" s="12" t="n">
        <v>0</v>
      </c>
      <c r="I69" s="12" t="n">
        <v>1</v>
      </c>
      <c r="J69" s="12" t="s">
        <v>113</v>
      </c>
      <c r="K69" s="12" t="s">
        <v>417</v>
      </c>
      <c r="L69" s="12" t="s">
        <v>418</v>
      </c>
    </row>
    <row r="70" customFormat="false" ht="15" hidden="false" customHeight="false" outlineLevel="0" collapsed="false">
      <c r="A70" s="12" t="s">
        <v>722</v>
      </c>
      <c r="B70" s="12" t="s">
        <v>166</v>
      </c>
      <c r="C70" s="12" t="s">
        <v>167</v>
      </c>
      <c r="D70" s="12" t="s">
        <v>63</v>
      </c>
      <c r="E70" s="12" t="s">
        <v>453</v>
      </c>
      <c r="F70" s="12" t="s">
        <v>454</v>
      </c>
      <c r="G70" s="12" t="n">
        <v>3</v>
      </c>
      <c r="H70" s="12" t="n">
        <v>0</v>
      </c>
      <c r="I70" s="12" t="n">
        <v>1</v>
      </c>
      <c r="J70" s="12" t="s">
        <v>118</v>
      </c>
      <c r="K70" s="12" t="s">
        <v>456</v>
      </c>
      <c r="L70" s="12" t="s">
        <v>389</v>
      </c>
    </row>
    <row r="71" customFormat="false" ht="15" hidden="false" customHeight="false" outlineLevel="0" collapsed="false">
      <c r="A71" s="12" t="s">
        <v>723</v>
      </c>
      <c r="B71" s="12" t="s">
        <v>166</v>
      </c>
      <c r="C71" s="12" t="s">
        <v>167</v>
      </c>
      <c r="D71" s="12" t="s">
        <v>63</v>
      </c>
      <c r="E71" s="12" t="s">
        <v>458</v>
      </c>
      <c r="F71" s="12" t="s">
        <v>459</v>
      </c>
      <c r="G71" s="12" t="n">
        <v>2</v>
      </c>
      <c r="H71" s="12" t="n">
        <v>0</v>
      </c>
      <c r="I71" s="12" t="n">
        <v>1</v>
      </c>
      <c r="J71" s="12" t="s">
        <v>118</v>
      </c>
      <c r="K71" s="12" t="s">
        <v>460</v>
      </c>
      <c r="L71" s="12" t="s">
        <v>389</v>
      </c>
    </row>
    <row r="72" customFormat="false" ht="15" hidden="false" customHeight="false" outlineLevel="0" collapsed="false">
      <c r="A72" s="12" t="s">
        <v>724</v>
      </c>
      <c r="B72" s="12" t="s">
        <v>166</v>
      </c>
      <c r="C72" s="12" t="s">
        <v>167</v>
      </c>
      <c r="D72" s="12" t="s">
        <v>63</v>
      </c>
      <c r="E72" s="12" t="s">
        <v>463</v>
      </c>
      <c r="F72" s="12" t="s">
        <v>464</v>
      </c>
      <c r="G72" s="12" t="n">
        <v>1</v>
      </c>
      <c r="H72" s="12" t="n">
        <v>0</v>
      </c>
      <c r="I72" s="12" t="n">
        <v>1</v>
      </c>
      <c r="J72" s="12" t="s">
        <v>118</v>
      </c>
      <c r="K72" s="12" t="s">
        <v>465</v>
      </c>
      <c r="L72" s="12" t="s">
        <v>418</v>
      </c>
    </row>
    <row r="73" customFormat="false" ht="15" hidden="false" customHeight="false" outlineLevel="0" collapsed="false">
      <c r="A73" s="12" t="s">
        <v>725</v>
      </c>
      <c r="B73" s="12" t="s">
        <v>166</v>
      </c>
      <c r="C73" s="12" t="s">
        <v>167</v>
      </c>
      <c r="D73" s="12" t="s">
        <v>63</v>
      </c>
      <c r="E73" s="12" t="s">
        <v>468</v>
      </c>
      <c r="F73" s="12" t="s">
        <v>469</v>
      </c>
      <c r="G73" s="12" t="n">
        <v>4</v>
      </c>
      <c r="H73" s="12" t="n">
        <v>0</v>
      </c>
      <c r="I73" s="12" t="n">
        <v>1</v>
      </c>
      <c r="J73" s="12" t="s">
        <v>118</v>
      </c>
      <c r="K73" s="12" t="s">
        <v>470</v>
      </c>
      <c r="L73" s="12" t="s">
        <v>418</v>
      </c>
    </row>
    <row r="74" customFormat="false" ht="15" hidden="false" customHeight="false" outlineLevel="0" collapsed="false">
      <c r="A74" s="12" t="s">
        <v>726</v>
      </c>
      <c r="B74" s="12" t="s">
        <v>166</v>
      </c>
      <c r="C74" s="12" t="s">
        <v>167</v>
      </c>
      <c r="D74" s="12" t="s">
        <v>63</v>
      </c>
      <c r="E74" s="12" t="s">
        <v>472</v>
      </c>
      <c r="F74" s="12" t="s">
        <v>473</v>
      </c>
      <c r="G74" s="12" t="n">
        <v>2</v>
      </c>
      <c r="H74" s="12" t="n">
        <v>0</v>
      </c>
      <c r="I74" s="12" t="n">
        <v>1</v>
      </c>
      <c r="J74" s="12" t="s">
        <v>118</v>
      </c>
      <c r="K74" s="12" t="s">
        <v>474</v>
      </c>
      <c r="L74" s="12" t="s">
        <v>418</v>
      </c>
    </row>
    <row r="75" customFormat="false" ht="15" hidden="false" customHeight="false" outlineLevel="0" collapsed="false">
      <c r="A75" s="12" t="s">
        <v>727</v>
      </c>
      <c r="B75" s="12" t="s">
        <v>166</v>
      </c>
      <c r="C75" s="12" t="s">
        <v>167</v>
      </c>
      <c r="D75" s="12" t="s">
        <v>63</v>
      </c>
      <c r="E75" s="12" t="s">
        <v>478</v>
      </c>
      <c r="F75" s="12" t="s">
        <v>479</v>
      </c>
      <c r="G75" s="12" t="n">
        <v>2</v>
      </c>
      <c r="H75" s="12" t="n">
        <v>0</v>
      </c>
      <c r="I75" s="12" t="n">
        <v>1</v>
      </c>
      <c r="J75" s="12" t="s">
        <v>480</v>
      </c>
      <c r="K75" s="12" t="s">
        <v>388</v>
      </c>
      <c r="L75" s="12" t="s">
        <v>389</v>
      </c>
    </row>
    <row r="76" customFormat="false" ht="15" hidden="false" customHeight="false" outlineLevel="0" collapsed="false">
      <c r="A76" s="12" t="s">
        <v>728</v>
      </c>
      <c r="B76" s="12" t="s">
        <v>171</v>
      </c>
      <c r="C76" s="12" t="s">
        <v>167</v>
      </c>
      <c r="D76" s="12" t="s">
        <v>63</v>
      </c>
      <c r="E76" s="12" t="s">
        <v>384</v>
      </c>
      <c r="F76" s="12" t="s">
        <v>385</v>
      </c>
      <c r="G76" s="12" t="n">
        <v>8</v>
      </c>
      <c r="H76" s="12" t="n">
        <v>0</v>
      </c>
      <c r="I76" s="12" t="n">
        <v>2</v>
      </c>
      <c r="J76" s="12" t="s">
        <v>111</v>
      </c>
      <c r="K76" s="12" t="s">
        <v>388</v>
      </c>
      <c r="L76" s="12" t="s">
        <v>389</v>
      </c>
    </row>
    <row r="77" customFormat="false" ht="15" hidden="false" customHeight="false" outlineLevel="0" collapsed="false">
      <c r="A77" s="12" t="s">
        <v>729</v>
      </c>
      <c r="B77" s="12" t="s">
        <v>171</v>
      </c>
      <c r="C77" s="12" t="s">
        <v>167</v>
      </c>
      <c r="D77" s="12" t="s">
        <v>63</v>
      </c>
      <c r="E77" s="12" t="s">
        <v>392</v>
      </c>
      <c r="F77" s="12" t="s">
        <v>393</v>
      </c>
      <c r="G77" s="12" t="n">
        <v>6</v>
      </c>
      <c r="H77" s="12" t="n">
        <v>0</v>
      </c>
      <c r="I77" s="12" t="n">
        <v>1</v>
      </c>
      <c r="J77" s="12" t="s">
        <v>111</v>
      </c>
      <c r="K77" s="12" t="s">
        <v>388</v>
      </c>
      <c r="L77" s="12" t="s">
        <v>389</v>
      </c>
    </row>
    <row r="78" customFormat="false" ht="15" hidden="false" customHeight="false" outlineLevel="0" collapsed="false">
      <c r="A78" s="12" t="s">
        <v>730</v>
      </c>
      <c r="B78" s="12" t="s">
        <v>171</v>
      </c>
      <c r="C78" s="12" t="s">
        <v>167</v>
      </c>
      <c r="D78" s="12" t="s">
        <v>63</v>
      </c>
      <c r="E78" s="12" t="s">
        <v>400</v>
      </c>
      <c r="F78" s="12" t="s">
        <v>401</v>
      </c>
      <c r="G78" s="12" t="n">
        <v>7</v>
      </c>
      <c r="H78" s="12" t="n">
        <v>0</v>
      </c>
      <c r="I78" s="12" t="n">
        <v>2</v>
      </c>
      <c r="J78" s="12" t="s">
        <v>111</v>
      </c>
      <c r="K78" s="12" t="s">
        <v>388</v>
      </c>
      <c r="L78" s="12" t="s">
        <v>389</v>
      </c>
    </row>
    <row r="79" customFormat="false" ht="15" hidden="false" customHeight="false" outlineLevel="0" collapsed="false">
      <c r="A79" s="12" t="s">
        <v>731</v>
      </c>
      <c r="B79" s="12" t="s">
        <v>171</v>
      </c>
      <c r="C79" s="12" t="s">
        <v>167</v>
      </c>
      <c r="D79" s="12" t="s">
        <v>63</v>
      </c>
      <c r="E79" s="12" t="s">
        <v>404</v>
      </c>
      <c r="F79" s="12" t="s">
        <v>405</v>
      </c>
      <c r="G79" s="12" t="n">
        <v>5</v>
      </c>
      <c r="H79" s="12" t="n">
        <v>0</v>
      </c>
      <c r="I79" s="12" t="n">
        <v>1</v>
      </c>
      <c r="J79" s="12" t="s">
        <v>111</v>
      </c>
      <c r="K79" s="12" t="s">
        <v>388</v>
      </c>
      <c r="L79" s="12" t="s">
        <v>389</v>
      </c>
    </row>
    <row r="80" customFormat="false" ht="15" hidden="false" customHeight="false" outlineLevel="0" collapsed="false">
      <c r="A80" s="12" t="s">
        <v>732</v>
      </c>
      <c r="B80" s="12" t="s">
        <v>171</v>
      </c>
      <c r="C80" s="12" t="s">
        <v>167</v>
      </c>
      <c r="D80" s="12" t="s">
        <v>63</v>
      </c>
      <c r="E80" s="12" t="s">
        <v>414</v>
      </c>
      <c r="F80" s="12" t="s">
        <v>415</v>
      </c>
      <c r="G80" s="12" t="n">
        <v>2</v>
      </c>
      <c r="H80" s="12" t="n">
        <v>0</v>
      </c>
      <c r="I80" s="12" t="n">
        <v>1</v>
      </c>
      <c r="J80" s="12" t="s">
        <v>113</v>
      </c>
      <c r="K80" s="12" t="s">
        <v>417</v>
      </c>
      <c r="L80" s="12" t="s">
        <v>418</v>
      </c>
    </row>
    <row r="81" customFormat="false" ht="15" hidden="false" customHeight="false" outlineLevel="0" collapsed="false">
      <c r="A81" s="12" t="s">
        <v>733</v>
      </c>
      <c r="B81" s="12" t="s">
        <v>171</v>
      </c>
      <c r="C81" s="12" t="s">
        <v>167</v>
      </c>
      <c r="D81" s="12" t="s">
        <v>63</v>
      </c>
      <c r="E81" s="12" t="s">
        <v>453</v>
      </c>
      <c r="F81" s="12" t="s">
        <v>454</v>
      </c>
      <c r="G81" s="12" t="n">
        <v>3</v>
      </c>
      <c r="H81" s="12" t="n">
        <v>0</v>
      </c>
      <c r="I81" s="12" t="n">
        <v>1</v>
      </c>
      <c r="J81" s="12" t="s">
        <v>118</v>
      </c>
      <c r="K81" s="12" t="s">
        <v>456</v>
      </c>
      <c r="L81" s="12" t="s">
        <v>389</v>
      </c>
    </row>
    <row r="82" customFormat="false" ht="15" hidden="false" customHeight="false" outlineLevel="0" collapsed="false">
      <c r="A82" s="12" t="s">
        <v>734</v>
      </c>
      <c r="B82" s="12" t="s">
        <v>171</v>
      </c>
      <c r="C82" s="12" t="s">
        <v>167</v>
      </c>
      <c r="D82" s="12" t="s">
        <v>63</v>
      </c>
      <c r="E82" s="12" t="s">
        <v>458</v>
      </c>
      <c r="F82" s="12" t="s">
        <v>459</v>
      </c>
      <c r="G82" s="12" t="n">
        <v>2</v>
      </c>
      <c r="H82" s="12" t="n">
        <v>0</v>
      </c>
      <c r="I82" s="12" t="n">
        <v>1</v>
      </c>
      <c r="J82" s="12" t="s">
        <v>118</v>
      </c>
      <c r="K82" s="12" t="s">
        <v>460</v>
      </c>
      <c r="L82" s="12" t="s">
        <v>389</v>
      </c>
    </row>
    <row r="83" customFormat="false" ht="15" hidden="false" customHeight="false" outlineLevel="0" collapsed="false">
      <c r="A83" s="12" t="s">
        <v>735</v>
      </c>
      <c r="B83" s="12" t="s">
        <v>171</v>
      </c>
      <c r="C83" s="12" t="s">
        <v>167</v>
      </c>
      <c r="D83" s="12" t="s">
        <v>63</v>
      </c>
      <c r="E83" s="12" t="s">
        <v>463</v>
      </c>
      <c r="F83" s="12" t="s">
        <v>464</v>
      </c>
      <c r="G83" s="12" t="n">
        <v>1</v>
      </c>
      <c r="H83" s="12" t="n">
        <v>0</v>
      </c>
      <c r="I83" s="12" t="n">
        <v>1</v>
      </c>
      <c r="J83" s="12" t="s">
        <v>118</v>
      </c>
      <c r="K83" s="12" t="s">
        <v>465</v>
      </c>
      <c r="L83" s="12" t="s">
        <v>418</v>
      </c>
    </row>
    <row r="84" customFormat="false" ht="15" hidden="false" customHeight="false" outlineLevel="0" collapsed="false">
      <c r="A84" s="12" t="s">
        <v>736</v>
      </c>
      <c r="B84" s="12" t="s">
        <v>171</v>
      </c>
      <c r="C84" s="12" t="s">
        <v>167</v>
      </c>
      <c r="D84" s="12" t="s">
        <v>63</v>
      </c>
      <c r="E84" s="12" t="s">
        <v>468</v>
      </c>
      <c r="F84" s="12" t="s">
        <v>469</v>
      </c>
      <c r="G84" s="12" t="n">
        <v>4</v>
      </c>
      <c r="H84" s="12" t="n">
        <v>0</v>
      </c>
      <c r="I84" s="12" t="n">
        <v>1</v>
      </c>
      <c r="J84" s="12" t="s">
        <v>118</v>
      </c>
      <c r="K84" s="12" t="s">
        <v>470</v>
      </c>
      <c r="L84" s="12" t="s">
        <v>418</v>
      </c>
    </row>
    <row r="85" customFormat="false" ht="15" hidden="false" customHeight="false" outlineLevel="0" collapsed="false">
      <c r="A85" s="12" t="s">
        <v>737</v>
      </c>
      <c r="B85" s="12" t="s">
        <v>171</v>
      </c>
      <c r="C85" s="12" t="s">
        <v>167</v>
      </c>
      <c r="D85" s="12" t="s">
        <v>63</v>
      </c>
      <c r="E85" s="12" t="s">
        <v>472</v>
      </c>
      <c r="F85" s="12" t="s">
        <v>473</v>
      </c>
      <c r="G85" s="12" t="n">
        <v>2</v>
      </c>
      <c r="H85" s="12" t="n">
        <v>0</v>
      </c>
      <c r="I85" s="12" t="n">
        <v>1</v>
      </c>
      <c r="J85" s="12" t="s">
        <v>118</v>
      </c>
      <c r="K85" s="12" t="s">
        <v>474</v>
      </c>
      <c r="L85" s="12" t="s">
        <v>418</v>
      </c>
    </row>
    <row r="86" customFormat="false" ht="15" hidden="false" customHeight="false" outlineLevel="0" collapsed="false">
      <c r="A86" s="12" t="s">
        <v>738</v>
      </c>
      <c r="B86" s="12" t="s">
        <v>171</v>
      </c>
      <c r="C86" s="12" t="s">
        <v>167</v>
      </c>
      <c r="D86" s="12" t="s">
        <v>63</v>
      </c>
      <c r="E86" s="12" t="s">
        <v>478</v>
      </c>
      <c r="F86" s="12" t="s">
        <v>479</v>
      </c>
      <c r="G86" s="12" t="n">
        <v>2</v>
      </c>
      <c r="H86" s="12" t="n">
        <v>0</v>
      </c>
      <c r="I86" s="12" t="n">
        <v>1</v>
      </c>
      <c r="J86" s="12" t="s">
        <v>480</v>
      </c>
      <c r="K86" s="12" t="s">
        <v>388</v>
      </c>
      <c r="L86" s="12" t="s">
        <v>389</v>
      </c>
    </row>
    <row r="87" customFormat="false" ht="15" hidden="false" customHeight="false" outlineLevel="0" collapsed="false">
      <c r="A87" s="12" t="s">
        <v>739</v>
      </c>
      <c r="B87" s="12" t="s">
        <v>175</v>
      </c>
      <c r="C87" s="12" t="s">
        <v>167</v>
      </c>
      <c r="D87" s="12" t="s">
        <v>63</v>
      </c>
      <c r="E87" s="12" t="s">
        <v>384</v>
      </c>
      <c r="F87" s="12" t="s">
        <v>385</v>
      </c>
      <c r="G87" s="12" t="n">
        <v>8</v>
      </c>
      <c r="H87" s="12" t="n">
        <v>0</v>
      </c>
      <c r="I87" s="12" t="n">
        <v>2</v>
      </c>
      <c r="J87" s="12" t="s">
        <v>111</v>
      </c>
      <c r="K87" s="12" t="s">
        <v>388</v>
      </c>
      <c r="L87" s="12" t="s">
        <v>389</v>
      </c>
    </row>
    <row r="88" customFormat="false" ht="15" hidden="false" customHeight="false" outlineLevel="0" collapsed="false">
      <c r="A88" s="12" t="s">
        <v>740</v>
      </c>
      <c r="B88" s="12" t="s">
        <v>175</v>
      </c>
      <c r="C88" s="12" t="s">
        <v>167</v>
      </c>
      <c r="D88" s="12" t="s">
        <v>63</v>
      </c>
      <c r="E88" s="12" t="s">
        <v>392</v>
      </c>
      <c r="F88" s="12" t="s">
        <v>393</v>
      </c>
      <c r="G88" s="12" t="n">
        <v>6</v>
      </c>
      <c r="H88" s="12" t="n">
        <v>0</v>
      </c>
      <c r="I88" s="12" t="n">
        <v>1</v>
      </c>
      <c r="J88" s="12" t="s">
        <v>111</v>
      </c>
      <c r="K88" s="12" t="s">
        <v>388</v>
      </c>
      <c r="L88" s="12" t="s">
        <v>389</v>
      </c>
    </row>
    <row r="89" customFormat="false" ht="15" hidden="false" customHeight="false" outlineLevel="0" collapsed="false">
      <c r="A89" s="12" t="s">
        <v>741</v>
      </c>
      <c r="B89" s="12" t="s">
        <v>175</v>
      </c>
      <c r="C89" s="12" t="s">
        <v>167</v>
      </c>
      <c r="D89" s="12" t="s">
        <v>63</v>
      </c>
      <c r="E89" s="12" t="s">
        <v>400</v>
      </c>
      <c r="F89" s="12" t="s">
        <v>401</v>
      </c>
      <c r="G89" s="12" t="n">
        <v>7</v>
      </c>
      <c r="H89" s="12" t="n">
        <v>0</v>
      </c>
      <c r="I89" s="12" t="n">
        <v>2</v>
      </c>
      <c r="J89" s="12" t="s">
        <v>111</v>
      </c>
      <c r="K89" s="12" t="s">
        <v>388</v>
      </c>
      <c r="L89" s="12" t="s">
        <v>389</v>
      </c>
    </row>
    <row r="90" customFormat="false" ht="15" hidden="false" customHeight="false" outlineLevel="0" collapsed="false">
      <c r="A90" s="12" t="s">
        <v>742</v>
      </c>
      <c r="B90" s="12" t="s">
        <v>175</v>
      </c>
      <c r="C90" s="12" t="s">
        <v>167</v>
      </c>
      <c r="D90" s="12" t="s">
        <v>63</v>
      </c>
      <c r="E90" s="12" t="s">
        <v>404</v>
      </c>
      <c r="F90" s="12" t="s">
        <v>405</v>
      </c>
      <c r="G90" s="12" t="n">
        <v>5</v>
      </c>
      <c r="H90" s="12" t="n">
        <v>0</v>
      </c>
      <c r="I90" s="12" t="n">
        <v>1</v>
      </c>
      <c r="J90" s="12" t="s">
        <v>111</v>
      </c>
      <c r="K90" s="12" t="s">
        <v>388</v>
      </c>
      <c r="L90" s="12" t="s">
        <v>389</v>
      </c>
    </row>
    <row r="91" customFormat="false" ht="15" hidden="false" customHeight="false" outlineLevel="0" collapsed="false">
      <c r="A91" s="12" t="s">
        <v>743</v>
      </c>
      <c r="B91" s="12" t="s">
        <v>175</v>
      </c>
      <c r="C91" s="12" t="s">
        <v>167</v>
      </c>
      <c r="D91" s="12" t="s">
        <v>63</v>
      </c>
      <c r="E91" s="12" t="s">
        <v>414</v>
      </c>
      <c r="F91" s="12" t="s">
        <v>415</v>
      </c>
      <c r="G91" s="12" t="n">
        <v>2</v>
      </c>
      <c r="H91" s="12" t="n">
        <v>0</v>
      </c>
      <c r="I91" s="12" t="n">
        <v>1</v>
      </c>
      <c r="J91" s="12" t="s">
        <v>113</v>
      </c>
      <c r="K91" s="12" t="s">
        <v>417</v>
      </c>
      <c r="L91" s="12" t="s">
        <v>418</v>
      </c>
    </row>
    <row r="92" customFormat="false" ht="15" hidden="false" customHeight="false" outlineLevel="0" collapsed="false">
      <c r="A92" s="12" t="s">
        <v>744</v>
      </c>
      <c r="B92" s="12" t="s">
        <v>175</v>
      </c>
      <c r="C92" s="12" t="s">
        <v>167</v>
      </c>
      <c r="D92" s="12" t="s">
        <v>63</v>
      </c>
      <c r="E92" s="12" t="s">
        <v>453</v>
      </c>
      <c r="F92" s="12" t="s">
        <v>454</v>
      </c>
      <c r="G92" s="12" t="n">
        <v>3</v>
      </c>
      <c r="H92" s="12" t="n">
        <v>0</v>
      </c>
      <c r="I92" s="12" t="n">
        <v>1</v>
      </c>
      <c r="J92" s="12" t="s">
        <v>118</v>
      </c>
      <c r="K92" s="12" t="s">
        <v>456</v>
      </c>
      <c r="L92" s="12" t="s">
        <v>389</v>
      </c>
    </row>
    <row r="93" customFormat="false" ht="15" hidden="false" customHeight="false" outlineLevel="0" collapsed="false">
      <c r="A93" s="12" t="s">
        <v>745</v>
      </c>
      <c r="B93" s="12" t="s">
        <v>175</v>
      </c>
      <c r="C93" s="12" t="s">
        <v>167</v>
      </c>
      <c r="D93" s="12" t="s">
        <v>63</v>
      </c>
      <c r="E93" s="12" t="s">
        <v>458</v>
      </c>
      <c r="F93" s="12" t="s">
        <v>459</v>
      </c>
      <c r="G93" s="12" t="n">
        <v>2</v>
      </c>
      <c r="H93" s="12" t="n">
        <v>0</v>
      </c>
      <c r="I93" s="12" t="n">
        <v>1</v>
      </c>
      <c r="J93" s="12" t="s">
        <v>118</v>
      </c>
      <c r="K93" s="12" t="s">
        <v>460</v>
      </c>
      <c r="L93" s="12" t="s">
        <v>389</v>
      </c>
    </row>
    <row r="94" customFormat="false" ht="15" hidden="false" customHeight="false" outlineLevel="0" collapsed="false">
      <c r="A94" s="12" t="s">
        <v>746</v>
      </c>
      <c r="B94" s="12" t="s">
        <v>175</v>
      </c>
      <c r="C94" s="12" t="s">
        <v>167</v>
      </c>
      <c r="D94" s="12" t="s">
        <v>63</v>
      </c>
      <c r="E94" s="12" t="s">
        <v>463</v>
      </c>
      <c r="F94" s="12" t="s">
        <v>464</v>
      </c>
      <c r="G94" s="12" t="n">
        <v>1</v>
      </c>
      <c r="H94" s="12" t="n">
        <v>0</v>
      </c>
      <c r="I94" s="12" t="n">
        <v>1</v>
      </c>
      <c r="J94" s="12" t="s">
        <v>118</v>
      </c>
      <c r="K94" s="12" t="s">
        <v>465</v>
      </c>
      <c r="L94" s="12" t="s">
        <v>418</v>
      </c>
    </row>
    <row r="95" customFormat="false" ht="15" hidden="false" customHeight="false" outlineLevel="0" collapsed="false">
      <c r="A95" s="12" t="s">
        <v>747</v>
      </c>
      <c r="B95" s="12" t="s">
        <v>175</v>
      </c>
      <c r="C95" s="12" t="s">
        <v>167</v>
      </c>
      <c r="D95" s="12" t="s">
        <v>63</v>
      </c>
      <c r="E95" s="12" t="s">
        <v>468</v>
      </c>
      <c r="F95" s="12" t="s">
        <v>469</v>
      </c>
      <c r="G95" s="12" t="n">
        <v>4</v>
      </c>
      <c r="H95" s="12" t="n">
        <v>0</v>
      </c>
      <c r="I95" s="12" t="n">
        <v>1</v>
      </c>
      <c r="J95" s="12" t="s">
        <v>118</v>
      </c>
      <c r="K95" s="12" t="s">
        <v>470</v>
      </c>
      <c r="L95" s="12" t="s">
        <v>418</v>
      </c>
    </row>
    <row r="96" customFormat="false" ht="15" hidden="false" customHeight="false" outlineLevel="0" collapsed="false">
      <c r="A96" s="12" t="s">
        <v>748</v>
      </c>
      <c r="B96" s="12" t="s">
        <v>175</v>
      </c>
      <c r="C96" s="12" t="s">
        <v>167</v>
      </c>
      <c r="D96" s="12" t="s">
        <v>63</v>
      </c>
      <c r="E96" s="12" t="s">
        <v>472</v>
      </c>
      <c r="F96" s="12" t="s">
        <v>473</v>
      </c>
      <c r="G96" s="12" t="n">
        <v>2</v>
      </c>
      <c r="H96" s="12" t="n">
        <v>0</v>
      </c>
      <c r="I96" s="12" t="n">
        <v>1</v>
      </c>
      <c r="J96" s="12" t="s">
        <v>118</v>
      </c>
      <c r="K96" s="12" t="s">
        <v>474</v>
      </c>
      <c r="L96" s="12" t="s">
        <v>418</v>
      </c>
    </row>
    <row r="97" customFormat="false" ht="15" hidden="false" customHeight="false" outlineLevel="0" collapsed="false">
      <c r="A97" s="12" t="s">
        <v>749</v>
      </c>
      <c r="B97" s="12" t="s">
        <v>175</v>
      </c>
      <c r="C97" s="12" t="s">
        <v>167</v>
      </c>
      <c r="D97" s="12" t="s">
        <v>63</v>
      </c>
      <c r="E97" s="12" t="s">
        <v>478</v>
      </c>
      <c r="F97" s="12" t="s">
        <v>479</v>
      </c>
      <c r="G97" s="12" t="n">
        <v>2</v>
      </c>
      <c r="H97" s="12" t="n">
        <v>0</v>
      </c>
      <c r="I97" s="12" t="n">
        <v>1</v>
      </c>
      <c r="J97" s="12" t="s">
        <v>480</v>
      </c>
      <c r="K97" s="12" t="s">
        <v>388</v>
      </c>
      <c r="L97" s="12" t="s">
        <v>389</v>
      </c>
    </row>
    <row r="98" customFormat="false" ht="15" hidden="false" customHeight="false" outlineLevel="0" collapsed="false">
      <c r="A98" s="12" t="s">
        <v>750</v>
      </c>
      <c r="B98" s="12" t="s">
        <v>179</v>
      </c>
      <c r="C98" s="12" t="s">
        <v>167</v>
      </c>
      <c r="D98" s="12" t="s">
        <v>63</v>
      </c>
      <c r="E98" s="12" t="s">
        <v>384</v>
      </c>
      <c r="F98" s="12" t="s">
        <v>385</v>
      </c>
      <c r="G98" s="12" t="n">
        <v>8</v>
      </c>
      <c r="H98" s="12" t="n">
        <v>0</v>
      </c>
      <c r="I98" s="12" t="n">
        <v>2</v>
      </c>
      <c r="J98" s="12" t="s">
        <v>111</v>
      </c>
      <c r="K98" s="12" t="s">
        <v>388</v>
      </c>
      <c r="L98" s="12" t="s">
        <v>389</v>
      </c>
    </row>
    <row r="99" customFormat="false" ht="15" hidden="false" customHeight="false" outlineLevel="0" collapsed="false">
      <c r="A99" s="12" t="s">
        <v>751</v>
      </c>
      <c r="B99" s="12" t="s">
        <v>179</v>
      </c>
      <c r="C99" s="12" t="s">
        <v>167</v>
      </c>
      <c r="D99" s="12" t="s">
        <v>63</v>
      </c>
      <c r="E99" s="12" t="s">
        <v>392</v>
      </c>
      <c r="F99" s="12" t="s">
        <v>393</v>
      </c>
      <c r="G99" s="12" t="n">
        <v>6</v>
      </c>
      <c r="H99" s="12" t="n">
        <v>0</v>
      </c>
      <c r="I99" s="12" t="n">
        <v>1</v>
      </c>
      <c r="J99" s="12" t="s">
        <v>111</v>
      </c>
      <c r="K99" s="12" t="s">
        <v>388</v>
      </c>
      <c r="L99" s="12" t="s">
        <v>389</v>
      </c>
    </row>
    <row r="100" customFormat="false" ht="15" hidden="false" customHeight="false" outlineLevel="0" collapsed="false">
      <c r="A100" s="12" t="s">
        <v>752</v>
      </c>
      <c r="B100" s="12" t="s">
        <v>179</v>
      </c>
      <c r="C100" s="12" t="s">
        <v>167</v>
      </c>
      <c r="D100" s="12" t="s">
        <v>63</v>
      </c>
      <c r="E100" s="12" t="s">
        <v>400</v>
      </c>
      <c r="F100" s="12" t="s">
        <v>401</v>
      </c>
      <c r="G100" s="12" t="n">
        <v>7</v>
      </c>
      <c r="H100" s="12" t="n">
        <v>0</v>
      </c>
      <c r="I100" s="12" t="n">
        <v>2</v>
      </c>
      <c r="J100" s="12" t="s">
        <v>111</v>
      </c>
      <c r="K100" s="12" t="s">
        <v>388</v>
      </c>
      <c r="L100" s="12" t="s">
        <v>389</v>
      </c>
    </row>
    <row r="101" customFormat="false" ht="15" hidden="false" customHeight="false" outlineLevel="0" collapsed="false">
      <c r="A101" s="12" t="s">
        <v>753</v>
      </c>
      <c r="B101" s="12" t="s">
        <v>179</v>
      </c>
      <c r="C101" s="12" t="s">
        <v>167</v>
      </c>
      <c r="D101" s="12" t="s">
        <v>63</v>
      </c>
      <c r="E101" s="12" t="s">
        <v>404</v>
      </c>
      <c r="F101" s="12" t="s">
        <v>405</v>
      </c>
      <c r="G101" s="12" t="n">
        <v>5</v>
      </c>
      <c r="H101" s="12" t="n">
        <v>0</v>
      </c>
      <c r="I101" s="12" t="n">
        <v>1</v>
      </c>
      <c r="J101" s="12" t="s">
        <v>111</v>
      </c>
      <c r="K101" s="12" t="s">
        <v>388</v>
      </c>
      <c r="L101" s="12" t="s">
        <v>389</v>
      </c>
    </row>
    <row r="102" customFormat="false" ht="15" hidden="false" customHeight="false" outlineLevel="0" collapsed="false">
      <c r="A102" s="12" t="s">
        <v>754</v>
      </c>
      <c r="B102" s="12" t="s">
        <v>179</v>
      </c>
      <c r="C102" s="12" t="s">
        <v>167</v>
      </c>
      <c r="D102" s="12" t="s">
        <v>63</v>
      </c>
      <c r="E102" s="12" t="s">
        <v>414</v>
      </c>
      <c r="F102" s="12" t="s">
        <v>415</v>
      </c>
      <c r="G102" s="12" t="n">
        <v>2</v>
      </c>
      <c r="H102" s="12" t="n">
        <v>0</v>
      </c>
      <c r="I102" s="12" t="n">
        <v>1</v>
      </c>
      <c r="J102" s="12" t="s">
        <v>113</v>
      </c>
      <c r="K102" s="12" t="s">
        <v>417</v>
      </c>
      <c r="L102" s="12" t="s">
        <v>418</v>
      </c>
    </row>
    <row r="103" customFormat="false" ht="15" hidden="false" customHeight="false" outlineLevel="0" collapsed="false">
      <c r="A103" s="12" t="s">
        <v>755</v>
      </c>
      <c r="B103" s="12" t="s">
        <v>179</v>
      </c>
      <c r="C103" s="12" t="s">
        <v>167</v>
      </c>
      <c r="D103" s="12" t="s">
        <v>63</v>
      </c>
      <c r="E103" s="12" t="s">
        <v>453</v>
      </c>
      <c r="F103" s="12" t="s">
        <v>454</v>
      </c>
      <c r="G103" s="12" t="n">
        <v>3</v>
      </c>
      <c r="H103" s="12" t="n">
        <v>0</v>
      </c>
      <c r="I103" s="12" t="n">
        <v>1</v>
      </c>
      <c r="J103" s="12" t="s">
        <v>118</v>
      </c>
      <c r="K103" s="12" t="s">
        <v>456</v>
      </c>
      <c r="L103" s="12" t="s">
        <v>389</v>
      </c>
    </row>
    <row r="104" customFormat="false" ht="15" hidden="false" customHeight="false" outlineLevel="0" collapsed="false">
      <c r="A104" s="12" t="s">
        <v>756</v>
      </c>
      <c r="B104" s="12" t="s">
        <v>179</v>
      </c>
      <c r="C104" s="12" t="s">
        <v>167</v>
      </c>
      <c r="D104" s="12" t="s">
        <v>63</v>
      </c>
      <c r="E104" s="12" t="s">
        <v>458</v>
      </c>
      <c r="F104" s="12" t="s">
        <v>459</v>
      </c>
      <c r="G104" s="12" t="n">
        <v>2</v>
      </c>
      <c r="H104" s="12" t="n">
        <v>0</v>
      </c>
      <c r="I104" s="12" t="n">
        <v>1</v>
      </c>
      <c r="J104" s="12" t="s">
        <v>118</v>
      </c>
      <c r="K104" s="12" t="s">
        <v>460</v>
      </c>
      <c r="L104" s="12" t="s">
        <v>389</v>
      </c>
    </row>
    <row r="105" customFormat="false" ht="15" hidden="false" customHeight="false" outlineLevel="0" collapsed="false">
      <c r="A105" s="12" t="s">
        <v>757</v>
      </c>
      <c r="B105" s="12" t="s">
        <v>179</v>
      </c>
      <c r="C105" s="12" t="s">
        <v>167</v>
      </c>
      <c r="D105" s="12" t="s">
        <v>63</v>
      </c>
      <c r="E105" s="12" t="s">
        <v>463</v>
      </c>
      <c r="F105" s="12" t="s">
        <v>464</v>
      </c>
      <c r="G105" s="12" t="n">
        <v>1</v>
      </c>
      <c r="H105" s="12" t="n">
        <v>0</v>
      </c>
      <c r="I105" s="12" t="n">
        <v>1</v>
      </c>
      <c r="J105" s="12" t="s">
        <v>118</v>
      </c>
      <c r="K105" s="12" t="s">
        <v>465</v>
      </c>
      <c r="L105" s="12" t="s">
        <v>418</v>
      </c>
    </row>
    <row r="106" customFormat="false" ht="15" hidden="false" customHeight="false" outlineLevel="0" collapsed="false">
      <c r="A106" s="12" t="s">
        <v>758</v>
      </c>
      <c r="B106" s="12" t="s">
        <v>179</v>
      </c>
      <c r="C106" s="12" t="s">
        <v>167</v>
      </c>
      <c r="D106" s="12" t="s">
        <v>63</v>
      </c>
      <c r="E106" s="12" t="s">
        <v>468</v>
      </c>
      <c r="F106" s="12" t="s">
        <v>469</v>
      </c>
      <c r="G106" s="12" t="n">
        <v>4</v>
      </c>
      <c r="H106" s="12" t="n">
        <v>0</v>
      </c>
      <c r="I106" s="12" t="n">
        <v>1</v>
      </c>
      <c r="J106" s="12" t="s">
        <v>118</v>
      </c>
      <c r="K106" s="12" t="s">
        <v>470</v>
      </c>
      <c r="L106" s="12" t="s">
        <v>418</v>
      </c>
    </row>
    <row r="107" customFormat="false" ht="15" hidden="false" customHeight="false" outlineLevel="0" collapsed="false">
      <c r="A107" s="12" t="s">
        <v>759</v>
      </c>
      <c r="B107" s="12" t="s">
        <v>179</v>
      </c>
      <c r="C107" s="12" t="s">
        <v>167</v>
      </c>
      <c r="D107" s="12" t="s">
        <v>63</v>
      </c>
      <c r="E107" s="12" t="s">
        <v>472</v>
      </c>
      <c r="F107" s="12" t="s">
        <v>473</v>
      </c>
      <c r="G107" s="12" t="n">
        <v>2</v>
      </c>
      <c r="H107" s="12" t="n">
        <v>0</v>
      </c>
      <c r="I107" s="12" t="n">
        <v>1</v>
      </c>
      <c r="J107" s="12" t="s">
        <v>118</v>
      </c>
      <c r="K107" s="12" t="s">
        <v>474</v>
      </c>
      <c r="L107" s="12" t="s">
        <v>418</v>
      </c>
    </row>
    <row r="108" customFormat="false" ht="15" hidden="false" customHeight="false" outlineLevel="0" collapsed="false">
      <c r="A108" s="12" t="s">
        <v>760</v>
      </c>
      <c r="B108" s="12" t="s">
        <v>179</v>
      </c>
      <c r="C108" s="12" t="s">
        <v>167</v>
      </c>
      <c r="D108" s="12" t="s">
        <v>63</v>
      </c>
      <c r="E108" s="12" t="s">
        <v>478</v>
      </c>
      <c r="F108" s="12" t="s">
        <v>479</v>
      </c>
      <c r="G108" s="12" t="n">
        <v>2</v>
      </c>
      <c r="H108" s="12" t="n">
        <v>0</v>
      </c>
      <c r="I108" s="12" t="n">
        <v>1</v>
      </c>
      <c r="J108" s="12" t="s">
        <v>480</v>
      </c>
      <c r="K108" s="12" t="s">
        <v>388</v>
      </c>
      <c r="L108" s="12" t="s">
        <v>389</v>
      </c>
    </row>
    <row r="109" customFormat="false" ht="15" hidden="false" customHeight="false" outlineLevel="0" collapsed="false">
      <c r="A109" s="12" t="s">
        <v>761</v>
      </c>
      <c r="B109" s="12" t="s">
        <v>184</v>
      </c>
      <c r="C109" s="12" t="s">
        <v>185</v>
      </c>
      <c r="D109" s="12" t="s">
        <v>63</v>
      </c>
      <c r="E109" s="12" t="s">
        <v>384</v>
      </c>
      <c r="F109" s="12" t="s">
        <v>385</v>
      </c>
      <c r="G109" s="12" t="n">
        <v>8</v>
      </c>
      <c r="H109" s="12" t="n">
        <v>0</v>
      </c>
      <c r="I109" s="12" t="n">
        <v>2</v>
      </c>
      <c r="J109" s="12" t="s">
        <v>111</v>
      </c>
      <c r="K109" s="12" t="s">
        <v>388</v>
      </c>
      <c r="L109" s="12" t="s">
        <v>389</v>
      </c>
    </row>
    <row r="110" customFormat="false" ht="15" hidden="false" customHeight="false" outlineLevel="0" collapsed="false">
      <c r="A110" s="12" t="s">
        <v>762</v>
      </c>
      <c r="B110" s="12" t="s">
        <v>184</v>
      </c>
      <c r="C110" s="12" t="s">
        <v>185</v>
      </c>
      <c r="D110" s="12" t="s">
        <v>63</v>
      </c>
      <c r="E110" s="12" t="s">
        <v>392</v>
      </c>
      <c r="F110" s="12" t="s">
        <v>393</v>
      </c>
      <c r="G110" s="12" t="n">
        <v>6</v>
      </c>
      <c r="H110" s="12" t="n">
        <v>0</v>
      </c>
      <c r="I110" s="12" t="n">
        <v>1</v>
      </c>
      <c r="J110" s="12" t="s">
        <v>111</v>
      </c>
      <c r="K110" s="12" t="s">
        <v>388</v>
      </c>
      <c r="L110" s="12" t="s">
        <v>389</v>
      </c>
    </row>
    <row r="111" customFormat="false" ht="15" hidden="false" customHeight="false" outlineLevel="0" collapsed="false">
      <c r="A111" s="12" t="s">
        <v>763</v>
      </c>
      <c r="B111" s="12" t="s">
        <v>184</v>
      </c>
      <c r="C111" s="12" t="s">
        <v>185</v>
      </c>
      <c r="D111" s="12" t="s">
        <v>63</v>
      </c>
      <c r="E111" s="12" t="s">
        <v>400</v>
      </c>
      <c r="F111" s="12" t="s">
        <v>401</v>
      </c>
      <c r="G111" s="12" t="n">
        <v>7</v>
      </c>
      <c r="H111" s="12" t="n">
        <v>0</v>
      </c>
      <c r="I111" s="12" t="n">
        <v>2</v>
      </c>
      <c r="J111" s="12" t="s">
        <v>111</v>
      </c>
      <c r="K111" s="12" t="s">
        <v>388</v>
      </c>
      <c r="L111" s="12" t="s">
        <v>389</v>
      </c>
    </row>
    <row r="112" customFormat="false" ht="15" hidden="false" customHeight="false" outlineLevel="0" collapsed="false">
      <c r="A112" s="12" t="s">
        <v>764</v>
      </c>
      <c r="B112" s="12" t="s">
        <v>184</v>
      </c>
      <c r="C112" s="12" t="s">
        <v>185</v>
      </c>
      <c r="D112" s="12" t="s">
        <v>63</v>
      </c>
      <c r="E112" s="12" t="s">
        <v>404</v>
      </c>
      <c r="F112" s="12" t="s">
        <v>405</v>
      </c>
      <c r="G112" s="12" t="n">
        <v>5</v>
      </c>
      <c r="H112" s="12" t="n">
        <v>0</v>
      </c>
      <c r="I112" s="12" t="n">
        <v>1</v>
      </c>
      <c r="J112" s="12" t="s">
        <v>111</v>
      </c>
      <c r="K112" s="12" t="s">
        <v>388</v>
      </c>
      <c r="L112" s="12" t="s">
        <v>389</v>
      </c>
    </row>
    <row r="113" customFormat="false" ht="15" hidden="false" customHeight="false" outlineLevel="0" collapsed="false">
      <c r="A113" s="12" t="s">
        <v>765</v>
      </c>
      <c r="B113" s="12" t="s">
        <v>184</v>
      </c>
      <c r="C113" s="12" t="s">
        <v>185</v>
      </c>
      <c r="D113" s="12" t="s">
        <v>63</v>
      </c>
      <c r="E113" s="12" t="s">
        <v>414</v>
      </c>
      <c r="F113" s="12" t="s">
        <v>415</v>
      </c>
      <c r="G113" s="12" t="n">
        <v>2</v>
      </c>
      <c r="H113" s="12" t="n">
        <v>0</v>
      </c>
      <c r="I113" s="12" t="n">
        <v>1</v>
      </c>
      <c r="J113" s="12" t="s">
        <v>113</v>
      </c>
      <c r="K113" s="12" t="s">
        <v>417</v>
      </c>
      <c r="L113" s="12" t="s">
        <v>418</v>
      </c>
    </row>
    <row r="114" customFormat="false" ht="15" hidden="false" customHeight="false" outlineLevel="0" collapsed="false">
      <c r="A114" s="12" t="s">
        <v>766</v>
      </c>
      <c r="B114" s="12" t="s">
        <v>184</v>
      </c>
      <c r="C114" s="12" t="s">
        <v>185</v>
      </c>
      <c r="D114" s="12" t="s">
        <v>63</v>
      </c>
      <c r="E114" s="12" t="s">
        <v>453</v>
      </c>
      <c r="F114" s="12" t="s">
        <v>454</v>
      </c>
      <c r="G114" s="12" t="n">
        <v>3</v>
      </c>
      <c r="H114" s="12" t="n">
        <v>0</v>
      </c>
      <c r="I114" s="12" t="n">
        <v>1</v>
      </c>
      <c r="J114" s="12" t="s">
        <v>118</v>
      </c>
      <c r="K114" s="12" t="s">
        <v>456</v>
      </c>
      <c r="L114" s="12" t="s">
        <v>389</v>
      </c>
    </row>
    <row r="115" customFormat="false" ht="15" hidden="false" customHeight="false" outlineLevel="0" collapsed="false">
      <c r="A115" s="12" t="s">
        <v>767</v>
      </c>
      <c r="B115" s="12" t="s">
        <v>184</v>
      </c>
      <c r="C115" s="12" t="s">
        <v>185</v>
      </c>
      <c r="D115" s="12" t="s">
        <v>63</v>
      </c>
      <c r="E115" s="12" t="s">
        <v>458</v>
      </c>
      <c r="F115" s="12" t="s">
        <v>459</v>
      </c>
      <c r="G115" s="12" t="n">
        <v>2</v>
      </c>
      <c r="H115" s="12" t="n">
        <v>0</v>
      </c>
      <c r="I115" s="12" t="n">
        <v>1</v>
      </c>
      <c r="J115" s="12" t="s">
        <v>118</v>
      </c>
      <c r="K115" s="12" t="s">
        <v>460</v>
      </c>
      <c r="L115" s="12" t="s">
        <v>389</v>
      </c>
    </row>
    <row r="116" customFormat="false" ht="15" hidden="false" customHeight="false" outlineLevel="0" collapsed="false">
      <c r="A116" s="12" t="s">
        <v>768</v>
      </c>
      <c r="B116" s="12" t="s">
        <v>184</v>
      </c>
      <c r="C116" s="12" t="s">
        <v>185</v>
      </c>
      <c r="D116" s="12" t="s">
        <v>63</v>
      </c>
      <c r="E116" s="12" t="s">
        <v>463</v>
      </c>
      <c r="F116" s="12" t="s">
        <v>464</v>
      </c>
      <c r="G116" s="12" t="n">
        <v>1</v>
      </c>
      <c r="H116" s="12" t="n">
        <v>0</v>
      </c>
      <c r="I116" s="12" t="n">
        <v>1</v>
      </c>
      <c r="J116" s="12" t="s">
        <v>118</v>
      </c>
      <c r="K116" s="12" t="s">
        <v>465</v>
      </c>
      <c r="L116" s="12" t="s">
        <v>418</v>
      </c>
    </row>
    <row r="117" customFormat="false" ht="15" hidden="false" customHeight="false" outlineLevel="0" collapsed="false">
      <c r="A117" s="12" t="s">
        <v>769</v>
      </c>
      <c r="B117" s="12" t="s">
        <v>184</v>
      </c>
      <c r="C117" s="12" t="s">
        <v>185</v>
      </c>
      <c r="D117" s="12" t="s">
        <v>63</v>
      </c>
      <c r="E117" s="12" t="s">
        <v>468</v>
      </c>
      <c r="F117" s="12" t="s">
        <v>469</v>
      </c>
      <c r="G117" s="12" t="n">
        <v>4</v>
      </c>
      <c r="H117" s="12" t="n">
        <v>0</v>
      </c>
      <c r="I117" s="12" t="n">
        <v>1</v>
      </c>
      <c r="J117" s="12" t="s">
        <v>118</v>
      </c>
      <c r="K117" s="12" t="s">
        <v>470</v>
      </c>
      <c r="L117" s="12" t="s">
        <v>418</v>
      </c>
    </row>
    <row r="118" customFormat="false" ht="15" hidden="false" customHeight="false" outlineLevel="0" collapsed="false">
      <c r="A118" s="12" t="s">
        <v>770</v>
      </c>
      <c r="B118" s="12" t="s">
        <v>184</v>
      </c>
      <c r="C118" s="12" t="s">
        <v>185</v>
      </c>
      <c r="D118" s="12" t="s">
        <v>63</v>
      </c>
      <c r="E118" s="12" t="s">
        <v>472</v>
      </c>
      <c r="F118" s="12" t="s">
        <v>473</v>
      </c>
      <c r="G118" s="12" t="n">
        <v>2</v>
      </c>
      <c r="H118" s="12" t="n">
        <v>0</v>
      </c>
      <c r="I118" s="12" t="n">
        <v>1</v>
      </c>
      <c r="J118" s="12" t="s">
        <v>118</v>
      </c>
      <c r="K118" s="12" t="s">
        <v>474</v>
      </c>
      <c r="L118" s="12" t="s">
        <v>418</v>
      </c>
    </row>
    <row r="119" customFormat="false" ht="15" hidden="false" customHeight="false" outlineLevel="0" collapsed="false">
      <c r="A119" s="12" t="s">
        <v>771</v>
      </c>
      <c r="B119" s="12" t="s">
        <v>184</v>
      </c>
      <c r="C119" s="12" t="s">
        <v>185</v>
      </c>
      <c r="D119" s="12" t="s">
        <v>63</v>
      </c>
      <c r="E119" s="12" t="s">
        <v>478</v>
      </c>
      <c r="F119" s="12" t="s">
        <v>479</v>
      </c>
      <c r="G119" s="12" t="n">
        <v>2</v>
      </c>
      <c r="H119" s="12" t="n">
        <v>0</v>
      </c>
      <c r="I119" s="12" t="n">
        <v>1</v>
      </c>
      <c r="J119" s="12" t="s">
        <v>480</v>
      </c>
      <c r="K119" s="12" t="s">
        <v>388</v>
      </c>
      <c r="L119" s="12" t="s">
        <v>389</v>
      </c>
    </row>
    <row r="120" customFormat="false" ht="15" hidden="false" customHeight="false" outlineLevel="0" collapsed="false">
      <c r="A120" s="12" t="s">
        <v>772</v>
      </c>
      <c r="B120" s="12" t="s">
        <v>189</v>
      </c>
      <c r="C120" s="12" t="s">
        <v>185</v>
      </c>
      <c r="D120" s="12" t="s">
        <v>63</v>
      </c>
      <c r="E120" s="12" t="s">
        <v>384</v>
      </c>
      <c r="F120" s="12" t="s">
        <v>385</v>
      </c>
      <c r="G120" s="12" t="n">
        <v>8</v>
      </c>
      <c r="H120" s="12" t="n">
        <v>0</v>
      </c>
      <c r="I120" s="12" t="n">
        <v>2</v>
      </c>
      <c r="J120" s="12" t="s">
        <v>111</v>
      </c>
      <c r="K120" s="12" t="s">
        <v>388</v>
      </c>
      <c r="L120" s="12" t="s">
        <v>389</v>
      </c>
    </row>
    <row r="121" customFormat="false" ht="15" hidden="false" customHeight="false" outlineLevel="0" collapsed="false">
      <c r="A121" s="12" t="s">
        <v>773</v>
      </c>
      <c r="B121" s="12" t="s">
        <v>189</v>
      </c>
      <c r="C121" s="12" t="s">
        <v>185</v>
      </c>
      <c r="D121" s="12" t="s">
        <v>63</v>
      </c>
      <c r="E121" s="12" t="s">
        <v>392</v>
      </c>
      <c r="F121" s="12" t="s">
        <v>393</v>
      </c>
      <c r="G121" s="12" t="n">
        <v>6</v>
      </c>
      <c r="H121" s="12" t="n">
        <v>0</v>
      </c>
      <c r="I121" s="12" t="n">
        <v>1</v>
      </c>
      <c r="J121" s="12" t="s">
        <v>111</v>
      </c>
      <c r="K121" s="12" t="s">
        <v>388</v>
      </c>
      <c r="L121" s="12" t="s">
        <v>389</v>
      </c>
    </row>
    <row r="122" customFormat="false" ht="15" hidden="false" customHeight="false" outlineLevel="0" collapsed="false">
      <c r="A122" s="12" t="s">
        <v>774</v>
      </c>
      <c r="B122" s="12" t="s">
        <v>189</v>
      </c>
      <c r="C122" s="12" t="s">
        <v>185</v>
      </c>
      <c r="D122" s="12" t="s">
        <v>63</v>
      </c>
      <c r="E122" s="12" t="s">
        <v>400</v>
      </c>
      <c r="F122" s="12" t="s">
        <v>401</v>
      </c>
      <c r="G122" s="12" t="n">
        <v>7</v>
      </c>
      <c r="H122" s="12" t="n">
        <v>0</v>
      </c>
      <c r="I122" s="12" t="n">
        <v>2</v>
      </c>
      <c r="J122" s="12" t="s">
        <v>111</v>
      </c>
      <c r="K122" s="12" t="s">
        <v>388</v>
      </c>
      <c r="L122" s="12" t="s">
        <v>389</v>
      </c>
    </row>
    <row r="123" customFormat="false" ht="15" hidden="false" customHeight="false" outlineLevel="0" collapsed="false">
      <c r="A123" s="12" t="s">
        <v>775</v>
      </c>
      <c r="B123" s="12" t="s">
        <v>189</v>
      </c>
      <c r="C123" s="12" t="s">
        <v>185</v>
      </c>
      <c r="D123" s="12" t="s">
        <v>63</v>
      </c>
      <c r="E123" s="12" t="s">
        <v>404</v>
      </c>
      <c r="F123" s="12" t="s">
        <v>405</v>
      </c>
      <c r="G123" s="12" t="n">
        <v>5</v>
      </c>
      <c r="H123" s="12" t="n">
        <v>0</v>
      </c>
      <c r="I123" s="12" t="n">
        <v>1</v>
      </c>
      <c r="J123" s="12" t="s">
        <v>111</v>
      </c>
      <c r="K123" s="12" t="s">
        <v>388</v>
      </c>
      <c r="L123" s="12" t="s">
        <v>389</v>
      </c>
    </row>
    <row r="124" customFormat="false" ht="15" hidden="false" customHeight="false" outlineLevel="0" collapsed="false">
      <c r="A124" s="12" t="s">
        <v>776</v>
      </c>
      <c r="B124" s="12" t="s">
        <v>189</v>
      </c>
      <c r="C124" s="12" t="s">
        <v>185</v>
      </c>
      <c r="D124" s="12" t="s">
        <v>63</v>
      </c>
      <c r="E124" s="12" t="s">
        <v>414</v>
      </c>
      <c r="F124" s="12" t="s">
        <v>415</v>
      </c>
      <c r="G124" s="12" t="n">
        <v>2</v>
      </c>
      <c r="H124" s="12" t="n">
        <v>0</v>
      </c>
      <c r="I124" s="12" t="n">
        <v>1</v>
      </c>
      <c r="J124" s="12" t="s">
        <v>113</v>
      </c>
      <c r="K124" s="12" t="s">
        <v>417</v>
      </c>
      <c r="L124" s="12" t="s">
        <v>418</v>
      </c>
    </row>
    <row r="125" customFormat="false" ht="15" hidden="false" customHeight="false" outlineLevel="0" collapsed="false">
      <c r="A125" s="12" t="s">
        <v>777</v>
      </c>
      <c r="B125" s="12" t="s">
        <v>189</v>
      </c>
      <c r="C125" s="12" t="s">
        <v>185</v>
      </c>
      <c r="D125" s="12" t="s">
        <v>63</v>
      </c>
      <c r="E125" s="12" t="s">
        <v>453</v>
      </c>
      <c r="F125" s="12" t="s">
        <v>454</v>
      </c>
      <c r="G125" s="12" t="n">
        <v>3</v>
      </c>
      <c r="H125" s="12" t="n">
        <v>0</v>
      </c>
      <c r="I125" s="12" t="n">
        <v>1</v>
      </c>
      <c r="J125" s="12" t="s">
        <v>118</v>
      </c>
      <c r="K125" s="12" t="s">
        <v>456</v>
      </c>
      <c r="L125" s="12" t="s">
        <v>389</v>
      </c>
    </row>
    <row r="126" customFormat="false" ht="15" hidden="false" customHeight="false" outlineLevel="0" collapsed="false">
      <c r="A126" s="12" t="s">
        <v>778</v>
      </c>
      <c r="B126" s="12" t="s">
        <v>189</v>
      </c>
      <c r="C126" s="12" t="s">
        <v>185</v>
      </c>
      <c r="D126" s="12" t="s">
        <v>63</v>
      </c>
      <c r="E126" s="12" t="s">
        <v>458</v>
      </c>
      <c r="F126" s="12" t="s">
        <v>459</v>
      </c>
      <c r="G126" s="12" t="n">
        <v>2</v>
      </c>
      <c r="H126" s="12" t="n">
        <v>0</v>
      </c>
      <c r="I126" s="12" t="n">
        <v>1</v>
      </c>
      <c r="J126" s="12" t="s">
        <v>118</v>
      </c>
      <c r="K126" s="12" t="s">
        <v>460</v>
      </c>
      <c r="L126" s="12" t="s">
        <v>389</v>
      </c>
    </row>
    <row r="127" customFormat="false" ht="15" hidden="false" customHeight="false" outlineLevel="0" collapsed="false">
      <c r="A127" s="12" t="s">
        <v>779</v>
      </c>
      <c r="B127" s="12" t="s">
        <v>189</v>
      </c>
      <c r="C127" s="12" t="s">
        <v>185</v>
      </c>
      <c r="D127" s="12" t="s">
        <v>63</v>
      </c>
      <c r="E127" s="12" t="s">
        <v>463</v>
      </c>
      <c r="F127" s="12" t="s">
        <v>464</v>
      </c>
      <c r="G127" s="12" t="n">
        <v>1</v>
      </c>
      <c r="H127" s="12" t="n">
        <v>0</v>
      </c>
      <c r="I127" s="12" t="n">
        <v>1</v>
      </c>
      <c r="J127" s="12" t="s">
        <v>118</v>
      </c>
      <c r="K127" s="12" t="s">
        <v>465</v>
      </c>
      <c r="L127" s="12" t="s">
        <v>418</v>
      </c>
    </row>
    <row r="128" customFormat="false" ht="15" hidden="false" customHeight="false" outlineLevel="0" collapsed="false">
      <c r="A128" s="12" t="s">
        <v>780</v>
      </c>
      <c r="B128" s="12" t="s">
        <v>189</v>
      </c>
      <c r="C128" s="12" t="s">
        <v>185</v>
      </c>
      <c r="D128" s="12" t="s">
        <v>63</v>
      </c>
      <c r="E128" s="12" t="s">
        <v>468</v>
      </c>
      <c r="F128" s="12" t="s">
        <v>469</v>
      </c>
      <c r="G128" s="12" t="n">
        <v>4</v>
      </c>
      <c r="H128" s="12" t="n">
        <v>0</v>
      </c>
      <c r="I128" s="12" t="n">
        <v>1</v>
      </c>
      <c r="J128" s="12" t="s">
        <v>118</v>
      </c>
      <c r="K128" s="12" t="s">
        <v>470</v>
      </c>
      <c r="L128" s="12" t="s">
        <v>418</v>
      </c>
    </row>
    <row r="129" customFormat="false" ht="15" hidden="false" customHeight="false" outlineLevel="0" collapsed="false">
      <c r="A129" s="12" t="s">
        <v>781</v>
      </c>
      <c r="B129" s="12" t="s">
        <v>189</v>
      </c>
      <c r="C129" s="12" t="s">
        <v>185</v>
      </c>
      <c r="D129" s="12" t="s">
        <v>63</v>
      </c>
      <c r="E129" s="12" t="s">
        <v>472</v>
      </c>
      <c r="F129" s="12" t="s">
        <v>473</v>
      </c>
      <c r="G129" s="12" t="n">
        <v>2</v>
      </c>
      <c r="H129" s="12" t="n">
        <v>0</v>
      </c>
      <c r="I129" s="12" t="n">
        <v>1</v>
      </c>
      <c r="J129" s="12" t="s">
        <v>118</v>
      </c>
      <c r="K129" s="12" t="s">
        <v>474</v>
      </c>
      <c r="L129" s="12" t="s">
        <v>418</v>
      </c>
    </row>
    <row r="130" customFormat="false" ht="15" hidden="false" customHeight="false" outlineLevel="0" collapsed="false">
      <c r="A130" s="12" t="s">
        <v>782</v>
      </c>
      <c r="B130" s="12" t="s">
        <v>189</v>
      </c>
      <c r="C130" s="12" t="s">
        <v>185</v>
      </c>
      <c r="D130" s="12" t="s">
        <v>63</v>
      </c>
      <c r="E130" s="12" t="s">
        <v>478</v>
      </c>
      <c r="F130" s="12" t="s">
        <v>479</v>
      </c>
      <c r="G130" s="12" t="n">
        <v>2</v>
      </c>
      <c r="H130" s="12" t="n">
        <v>0</v>
      </c>
      <c r="I130" s="12" t="n">
        <v>1</v>
      </c>
      <c r="J130" s="12" t="s">
        <v>480</v>
      </c>
      <c r="K130" s="12" t="s">
        <v>388</v>
      </c>
      <c r="L130" s="12" t="s">
        <v>389</v>
      </c>
    </row>
    <row r="131" customFormat="false" ht="15" hidden="false" customHeight="false" outlineLevel="0" collapsed="false">
      <c r="A131" s="12" t="s">
        <v>783</v>
      </c>
      <c r="B131" s="12" t="s">
        <v>193</v>
      </c>
      <c r="C131" s="12" t="s">
        <v>185</v>
      </c>
      <c r="D131" s="12" t="s">
        <v>63</v>
      </c>
      <c r="E131" s="12" t="s">
        <v>384</v>
      </c>
      <c r="F131" s="12" t="s">
        <v>385</v>
      </c>
      <c r="G131" s="12" t="n">
        <v>8</v>
      </c>
      <c r="H131" s="12" t="n">
        <v>0</v>
      </c>
      <c r="I131" s="12" t="n">
        <v>2</v>
      </c>
      <c r="J131" s="12" t="s">
        <v>111</v>
      </c>
      <c r="K131" s="12" t="s">
        <v>388</v>
      </c>
      <c r="L131" s="12" t="s">
        <v>389</v>
      </c>
    </row>
    <row r="132" customFormat="false" ht="15" hidden="false" customHeight="false" outlineLevel="0" collapsed="false">
      <c r="A132" s="12" t="s">
        <v>784</v>
      </c>
      <c r="B132" s="12" t="s">
        <v>193</v>
      </c>
      <c r="C132" s="12" t="s">
        <v>185</v>
      </c>
      <c r="D132" s="12" t="s">
        <v>63</v>
      </c>
      <c r="E132" s="12" t="s">
        <v>392</v>
      </c>
      <c r="F132" s="12" t="s">
        <v>393</v>
      </c>
      <c r="G132" s="12" t="n">
        <v>6</v>
      </c>
      <c r="H132" s="12" t="n">
        <v>0</v>
      </c>
      <c r="I132" s="12" t="n">
        <v>1</v>
      </c>
      <c r="J132" s="12" t="s">
        <v>111</v>
      </c>
      <c r="K132" s="12" t="s">
        <v>388</v>
      </c>
      <c r="L132" s="12" t="s">
        <v>389</v>
      </c>
    </row>
    <row r="133" customFormat="false" ht="15" hidden="false" customHeight="false" outlineLevel="0" collapsed="false">
      <c r="A133" s="12" t="s">
        <v>785</v>
      </c>
      <c r="B133" s="12" t="s">
        <v>193</v>
      </c>
      <c r="C133" s="12" t="s">
        <v>185</v>
      </c>
      <c r="D133" s="12" t="s">
        <v>63</v>
      </c>
      <c r="E133" s="12" t="s">
        <v>400</v>
      </c>
      <c r="F133" s="12" t="s">
        <v>401</v>
      </c>
      <c r="G133" s="12" t="n">
        <v>7</v>
      </c>
      <c r="H133" s="12" t="n">
        <v>0</v>
      </c>
      <c r="I133" s="12" t="n">
        <v>2</v>
      </c>
      <c r="J133" s="12" t="s">
        <v>111</v>
      </c>
      <c r="K133" s="12" t="s">
        <v>388</v>
      </c>
      <c r="L133" s="12" t="s">
        <v>389</v>
      </c>
    </row>
    <row r="134" customFormat="false" ht="15" hidden="false" customHeight="false" outlineLevel="0" collapsed="false">
      <c r="A134" s="12" t="s">
        <v>786</v>
      </c>
      <c r="B134" s="12" t="s">
        <v>193</v>
      </c>
      <c r="C134" s="12" t="s">
        <v>185</v>
      </c>
      <c r="D134" s="12" t="s">
        <v>63</v>
      </c>
      <c r="E134" s="12" t="s">
        <v>404</v>
      </c>
      <c r="F134" s="12" t="s">
        <v>405</v>
      </c>
      <c r="G134" s="12" t="n">
        <v>5</v>
      </c>
      <c r="H134" s="12" t="n">
        <v>0</v>
      </c>
      <c r="I134" s="12" t="n">
        <v>1</v>
      </c>
      <c r="J134" s="12" t="s">
        <v>111</v>
      </c>
      <c r="K134" s="12" t="s">
        <v>388</v>
      </c>
      <c r="L134" s="12" t="s">
        <v>389</v>
      </c>
    </row>
    <row r="135" customFormat="false" ht="15" hidden="false" customHeight="false" outlineLevel="0" collapsed="false">
      <c r="A135" s="12" t="s">
        <v>787</v>
      </c>
      <c r="B135" s="12" t="s">
        <v>193</v>
      </c>
      <c r="C135" s="12" t="s">
        <v>185</v>
      </c>
      <c r="D135" s="12" t="s">
        <v>63</v>
      </c>
      <c r="E135" s="12" t="s">
        <v>414</v>
      </c>
      <c r="F135" s="12" t="s">
        <v>415</v>
      </c>
      <c r="G135" s="12" t="n">
        <v>2</v>
      </c>
      <c r="H135" s="12" t="n">
        <v>0</v>
      </c>
      <c r="I135" s="12" t="n">
        <v>1</v>
      </c>
      <c r="J135" s="12" t="s">
        <v>113</v>
      </c>
      <c r="K135" s="12" t="s">
        <v>417</v>
      </c>
      <c r="L135" s="12" t="s">
        <v>418</v>
      </c>
    </row>
    <row r="136" customFormat="false" ht="15" hidden="false" customHeight="false" outlineLevel="0" collapsed="false">
      <c r="A136" s="12" t="s">
        <v>788</v>
      </c>
      <c r="B136" s="12" t="s">
        <v>193</v>
      </c>
      <c r="C136" s="12" t="s">
        <v>185</v>
      </c>
      <c r="D136" s="12" t="s">
        <v>63</v>
      </c>
      <c r="E136" s="12" t="s">
        <v>453</v>
      </c>
      <c r="F136" s="12" t="s">
        <v>454</v>
      </c>
      <c r="G136" s="12" t="n">
        <v>3</v>
      </c>
      <c r="H136" s="12" t="n">
        <v>0</v>
      </c>
      <c r="I136" s="12" t="n">
        <v>1</v>
      </c>
      <c r="J136" s="12" t="s">
        <v>118</v>
      </c>
      <c r="K136" s="12" t="s">
        <v>456</v>
      </c>
      <c r="L136" s="12" t="s">
        <v>389</v>
      </c>
    </row>
    <row r="137" customFormat="false" ht="15" hidden="false" customHeight="false" outlineLevel="0" collapsed="false">
      <c r="A137" s="12" t="s">
        <v>789</v>
      </c>
      <c r="B137" s="12" t="s">
        <v>193</v>
      </c>
      <c r="C137" s="12" t="s">
        <v>185</v>
      </c>
      <c r="D137" s="12" t="s">
        <v>63</v>
      </c>
      <c r="E137" s="12" t="s">
        <v>458</v>
      </c>
      <c r="F137" s="12" t="s">
        <v>459</v>
      </c>
      <c r="G137" s="12" t="n">
        <v>2</v>
      </c>
      <c r="H137" s="12" t="n">
        <v>0</v>
      </c>
      <c r="I137" s="12" t="n">
        <v>1</v>
      </c>
      <c r="J137" s="12" t="s">
        <v>118</v>
      </c>
      <c r="K137" s="12" t="s">
        <v>460</v>
      </c>
      <c r="L137" s="12" t="s">
        <v>389</v>
      </c>
    </row>
    <row r="138" customFormat="false" ht="15" hidden="false" customHeight="false" outlineLevel="0" collapsed="false">
      <c r="A138" s="12" t="s">
        <v>790</v>
      </c>
      <c r="B138" s="12" t="s">
        <v>193</v>
      </c>
      <c r="C138" s="12" t="s">
        <v>185</v>
      </c>
      <c r="D138" s="12" t="s">
        <v>63</v>
      </c>
      <c r="E138" s="12" t="s">
        <v>463</v>
      </c>
      <c r="F138" s="12" t="s">
        <v>464</v>
      </c>
      <c r="G138" s="12" t="n">
        <v>1</v>
      </c>
      <c r="H138" s="12" t="n">
        <v>0</v>
      </c>
      <c r="I138" s="12" t="n">
        <v>1</v>
      </c>
      <c r="J138" s="12" t="s">
        <v>118</v>
      </c>
      <c r="K138" s="12" t="s">
        <v>465</v>
      </c>
      <c r="L138" s="12" t="s">
        <v>418</v>
      </c>
    </row>
    <row r="139" customFormat="false" ht="15" hidden="false" customHeight="false" outlineLevel="0" collapsed="false">
      <c r="A139" s="12" t="s">
        <v>791</v>
      </c>
      <c r="B139" s="12" t="s">
        <v>193</v>
      </c>
      <c r="C139" s="12" t="s">
        <v>185</v>
      </c>
      <c r="D139" s="12" t="s">
        <v>63</v>
      </c>
      <c r="E139" s="12" t="s">
        <v>468</v>
      </c>
      <c r="F139" s="12" t="s">
        <v>469</v>
      </c>
      <c r="G139" s="12" t="n">
        <v>4</v>
      </c>
      <c r="H139" s="12" t="n">
        <v>0</v>
      </c>
      <c r="I139" s="12" t="n">
        <v>1</v>
      </c>
      <c r="J139" s="12" t="s">
        <v>118</v>
      </c>
      <c r="K139" s="12" t="s">
        <v>470</v>
      </c>
      <c r="L139" s="12" t="s">
        <v>418</v>
      </c>
    </row>
    <row r="140" customFormat="false" ht="15" hidden="false" customHeight="false" outlineLevel="0" collapsed="false">
      <c r="A140" s="12" t="s">
        <v>792</v>
      </c>
      <c r="B140" s="12" t="s">
        <v>193</v>
      </c>
      <c r="C140" s="12" t="s">
        <v>185</v>
      </c>
      <c r="D140" s="12" t="s">
        <v>63</v>
      </c>
      <c r="E140" s="12" t="s">
        <v>472</v>
      </c>
      <c r="F140" s="12" t="s">
        <v>473</v>
      </c>
      <c r="G140" s="12" t="n">
        <v>2</v>
      </c>
      <c r="H140" s="12" t="n">
        <v>0</v>
      </c>
      <c r="I140" s="12" t="n">
        <v>1</v>
      </c>
      <c r="J140" s="12" t="s">
        <v>118</v>
      </c>
      <c r="K140" s="12" t="s">
        <v>474</v>
      </c>
      <c r="L140" s="12" t="s">
        <v>418</v>
      </c>
    </row>
    <row r="141" customFormat="false" ht="15" hidden="false" customHeight="false" outlineLevel="0" collapsed="false">
      <c r="A141" s="12" t="s">
        <v>793</v>
      </c>
      <c r="B141" s="12" t="s">
        <v>193</v>
      </c>
      <c r="C141" s="12" t="s">
        <v>185</v>
      </c>
      <c r="D141" s="12" t="s">
        <v>63</v>
      </c>
      <c r="E141" s="12" t="s">
        <v>478</v>
      </c>
      <c r="F141" s="12" t="s">
        <v>479</v>
      </c>
      <c r="G141" s="12" t="n">
        <v>2</v>
      </c>
      <c r="H141" s="12" t="n">
        <v>0</v>
      </c>
      <c r="I141" s="12" t="n">
        <v>1</v>
      </c>
      <c r="J141" s="12" t="s">
        <v>480</v>
      </c>
      <c r="K141" s="12" t="s">
        <v>388</v>
      </c>
      <c r="L141" s="12" t="s">
        <v>389</v>
      </c>
    </row>
    <row r="142" customFormat="false" ht="15" hidden="false" customHeight="false" outlineLevel="0" collapsed="false">
      <c r="A142" s="12" t="s">
        <v>794</v>
      </c>
      <c r="B142" s="12" t="s">
        <v>197</v>
      </c>
      <c r="C142" s="12" t="s">
        <v>198</v>
      </c>
      <c r="D142" s="12" t="s">
        <v>63</v>
      </c>
      <c r="E142" s="12" t="s">
        <v>384</v>
      </c>
      <c r="F142" s="12" t="s">
        <v>385</v>
      </c>
      <c r="G142" s="12" t="n">
        <v>8</v>
      </c>
      <c r="H142" s="12" t="n">
        <v>0</v>
      </c>
      <c r="I142" s="12" t="n">
        <v>2</v>
      </c>
      <c r="J142" s="12" t="s">
        <v>111</v>
      </c>
      <c r="K142" s="12" t="s">
        <v>388</v>
      </c>
      <c r="L142" s="12" t="s">
        <v>389</v>
      </c>
    </row>
    <row r="143" customFormat="false" ht="15" hidden="false" customHeight="false" outlineLevel="0" collapsed="false">
      <c r="A143" s="12" t="s">
        <v>795</v>
      </c>
      <c r="B143" s="12" t="s">
        <v>197</v>
      </c>
      <c r="C143" s="12" t="s">
        <v>198</v>
      </c>
      <c r="D143" s="12" t="s">
        <v>63</v>
      </c>
      <c r="E143" s="12" t="s">
        <v>392</v>
      </c>
      <c r="F143" s="12" t="s">
        <v>393</v>
      </c>
      <c r="G143" s="12" t="n">
        <v>6</v>
      </c>
      <c r="H143" s="12" t="n">
        <v>0</v>
      </c>
      <c r="I143" s="12" t="n">
        <v>1</v>
      </c>
      <c r="J143" s="12" t="s">
        <v>111</v>
      </c>
      <c r="K143" s="12" t="s">
        <v>388</v>
      </c>
      <c r="L143" s="12" t="s">
        <v>389</v>
      </c>
    </row>
    <row r="144" customFormat="false" ht="15" hidden="false" customHeight="false" outlineLevel="0" collapsed="false">
      <c r="A144" s="12" t="s">
        <v>796</v>
      </c>
      <c r="B144" s="12" t="s">
        <v>197</v>
      </c>
      <c r="C144" s="12" t="s">
        <v>198</v>
      </c>
      <c r="D144" s="12" t="s">
        <v>63</v>
      </c>
      <c r="E144" s="12" t="s">
        <v>400</v>
      </c>
      <c r="F144" s="12" t="s">
        <v>401</v>
      </c>
      <c r="G144" s="12" t="n">
        <v>8</v>
      </c>
      <c r="H144" s="12" t="n">
        <v>0</v>
      </c>
      <c r="I144" s="12" t="n">
        <v>2</v>
      </c>
      <c r="J144" s="12" t="s">
        <v>111</v>
      </c>
      <c r="K144" s="12" t="s">
        <v>388</v>
      </c>
      <c r="L144" s="12" t="s">
        <v>389</v>
      </c>
    </row>
    <row r="145" customFormat="false" ht="15" hidden="false" customHeight="false" outlineLevel="0" collapsed="false">
      <c r="A145" s="12" t="s">
        <v>797</v>
      </c>
      <c r="B145" s="12" t="s">
        <v>197</v>
      </c>
      <c r="C145" s="12" t="s">
        <v>198</v>
      </c>
      <c r="D145" s="12" t="s">
        <v>63</v>
      </c>
      <c r="E145" s="12" t="s">
        <v>408</v>
      </c>
      <c r="F145" s="12" t="s">
        <v>409</v>
      </c>
      <c r="G145" s="12" t="n">
        <v>4</v>
      </c>
      <c r="H145" s="12" t="n">
        <v>0</v>
      </c>
      <c r="I145" s="12" t="n">
        <v>1</v>
      </c>
      <c r="J145" s="12" t="s">
        <v>111</v>
      </c>
      <c r="K145" s="12" t="s">
        <v>388</v>
      </c>
      <c r="L145" s="12" t="s">
        <v>389</v>
      </c>
    </row>
    <row r="146" customFormat="false" ht="15" hidden="false" customHeight="false" outlineLevel="0" collapsed="false">
      <c r="A146" s="12" t="s">
        <v>798</v>
      </c>
      <c r="B146" s="12" t="s">
        <v>197</v>
      </c>
      <c r="C146" s="12" t="s">
        <v>198</v>
      </c>
      <c r="D146" s="12" t="s">
        <v>63</v>
      </c>
      <c r="E146" s="12" t="s">
        <v>412</v>
      </c>
      <c r="F146" s="12" t="s">
        <v>413</v>
      </c>
      <c r="G146" s="12" t="n">
        <v>4</v>
      </c>
      <c r="H146" s="12" t="n">
        <v>0</v>
      </c>
      <c r="I146" s="12" t="n">
        <v>1</v>
      </c>
      <c r="J146" s="12" t="s">
        <v>111</v>
      </c>
      <c r="K146" s="12" t="s">
        <v>388</v>
      </c>
      <c r="L146" s="12" t="s">
        <v>389</v>
      </c>
    </row>
    <row r="147" customFormat="false" ht="15" hidden="false" customHeight="false" outlineLevel="0" collapsed="false">
      <c r="A147" s="12" t="s">
        <v>799</v>
      </c>
      <c r="B147" s="12" t="s">
        <v>197</v>
      </c>
      <c r="C147" s="12" t="s">
        <v>198</v>
      </c>
      <c r="D147" s="12" t="s">
        <v>63</v>
      </c>
      <c r="E147" s="12" t="s">
        <v>414</v>
      </c>
      <c r="F147" s="12" t="s">
        <v>415</v>
      </c>
      <c r="G147" s="12" t="n">
        <v>3</v>
      </c>
      <c r="H147" s="12" t="n">
        <v>1</v>
      </c>
      <c r="I147" s="12" t="n">
        <v>2</v>
      </c>
      <c r="J147" s="12" t="s">
        <v>113</v>
      </c>
      <c r="K147" s="12" t="s">
        <v>417</v>
      </c>
      <c r="L147" s="12" t="s">
        <v>418</v>
      </c>
    </row>
    <row r="148" customFormat="false" ht="15" hidden="false" customHeight="false" outlineLevel="0" collapsed="false">
      <c r="A148" s="12" t="s">
        <v>800</v>
      </c>
      <c r="B148" s="12" t="s">
        <v>197</v>
      </c>
      <c r="C148" s="12" t="s">
        <v>198</v>
      </c>
      <c r="D148" s="12" t="s">
        <v>63</v>
      </c>
      <c r="E148" s="12" t="s">
        <v>453</v>
      </c>
      <c r="F148" s="12" t="s">
        <v>454</v>
      </c>
      <c r="G148" s="12" t="n">
        <v>2</v>
      </c>
      <c r="H148" s="12" t="n">
        <v>0</v>
      </c>
      <c r="I148" s="12" t="n">
        <v>1</v>
      </c>
      <c r="J148" s="12" t="s">
        <v>118</v>
      </c>
      <c r="K148" s="12" t="s">
        <v>456</v>
      </c>
      <c r="L148" s="12" t="s">
        <v>389</v>
      </c>
    </row>
    <row r="149" customFormat="false" ht="15" hidden="false" customHeight="false" outlineLevel="0" collapsed="false">
      <c r="A149" s="12" t="s">
        <v>801</v>
      </c>
      <c r="B149" s="12" t="s">
        <v>197</v>
      </c>
      <c r="C149" s="12" t="s">
        <v>198</v>
      </c>
      <c r="D149" s="12" t="s">
        <v>63</v>
      </c>
      <c r="E149" s="12" t="s">
        <v>458</v>
      </c>
      <c r="F149" s="12" t="s">
        <v>459</v>
      </c>
      <c r="G149" s="12" t="n">
        <v>1</v>
      </c>
      <c r="H149" s="12" t="n">
        <v>0</v>
      </c>
      <c r="I149" s="12" t="n">
        <v>1</v>
      </c>
      <c r="J149" s="12" t="s">
        <v>118</v>
      </c>
      <c r="K149" s="12" t="s">
        <v>460</v>
      </c>
      <c r="L149" s="12" t="s">
        <v>389</v>
      </c>
    </row>
    <row r="150" customFormat="false" ht="15" hidden="false" customHeight="false" outlineLevel="0" collapsed="false">
      <c r="A150" s="12" t="s">
        <v>802</v>
      </c>
      <c r="B150" s="12" t="s">
        <v>197</v>
      </c>
      <c r="C150" s="12" t="s">
        <v>198</v>
      </c>
      <c r="D150" s="12" t="s">
        <v>63</v>
      </c>
      <c r="E150" s="12" t="s">
        <v>463</v>
      </c>
      <c r="F150" s="12" t="s">
        <v>464</v>
      </c>
      <c r="G150" s="12" t="n">
        <v>1</v>
      </c>
      <c r="H150" s="12" t="n">
        <v>0</v>
      </c>
      <c r="I150" s="12" t="n">
        <v>1</v>
      </c>
      <c r="J150" s="12" t="s">
        <v>118</v>
      </c>
      <c r="K150" s="12" t="s">
        <v>465</v>
      </c>
      <c r="L150" s="12" t="s">
        <v>418</v>
      </c>
    </row>
    <row r="151" customFormat="false" ht="15" hidden="false" customHeight="false" outlineLevel="0" collapsed="false">
      <c r="A151" s="12" t="s">
        <v>803</v>
      </c>
      <c r="B151" s="12" t="s">
        <v>197</v>
      </c>
      <c r="C151" s="12" t="s">
        <v>198</v>
      </c>
      <c r="D151" s="12" t="s">
        <v>63</v>
      </c>
      <c r="E151" s="12" t="s">
        <v>468</v>
      </c>
      <c r="F151" s="12" t="s">
        <v>469</v>
      </c>
      <c r="G151" s="12" t="n">
        <v>3</v>
      </c>
      <c r="H151" s="12" t="n">
        <v>0</v>
      </c>
      <c r="I151" s="12" t="n">
        <v>1</v>
      </c>
      <c r="J151" s="12" t="s">
        <v>118</v>
      </c>
      <c r="K151" s="12" t="s">
        <v>470</v>
      </c>
      <c r="L151" s="12" t="s">
        <v>418</v>
      </c>
    </row>
    <row r="152" customFormat="false" ht="15" hidden="false" customHeight="false" outlineLevel="0" collapsed="false">
      <c r="A152" s="12" t="s">
        <v>804</v>
      </c>
      <c r="B152" s="12" t="s">
        <v>197</v>
      </c>
      <c r="C152" s="12" t="s">
        <v>198</v>
      </c>
      <c r="D152" s="12" t="s">
        <v>63</v>
      </c>
      <c r="E152" s="12" t="s">
        <v>472</v>
      </c>
      <c r="F152" s="12" t="s">
        <v>473</v>
      </c>
      <c r="G152" s="12" t="n">
        <v>1</v>
      </c>
      <c r="H152" s="12" t="n">
        <v>0</v>
      </c>
      <c r="I152" s="12" t="n">
        <v>1</v>
      </c>
      <c r="J152" s="12" t="s">
        <v>118</v>
      </c>
      <c r="K152" s="12" t="s">
        <v>474</v>
      </c>
      <c r="L152" s="12" t="s">
        <v>418</v>
      </c>
    </row>
    <row r="153" customFormat="false" ht="15" hidden="false" customHeight="false" outlineLevel="0" collapsed="false">
      <c r="A153" s="12" t="s">
        <v>805</v>
      </c>
      <c r="B153" s="12" t="s">
        <v>197</v>
      </c>
      <c r="C153" s="12" t="s">
        <v>198</v>
      </c>
      <c r="D153" s="12" t="s">
        <v>63</v>
      </c>
      <c r="E153" s="12" t="s">
        <v>478</v>
      </c>
      <c r="F153" s="12" t="s">
        <v>479</v>
      </c>
      <c r="G153" s="12" t="n">
        <v>1</v>
      </c>
      <c r="H153" s="12" t="n">
        <v>0</v>
      </c>
      <c r="I153" s="12" t="n">
        <v>1</v>
      </c>
      <c r="J153" s="12" t="s">
        <v>480</v>
      </c>
      <c r="K153" s="12" t="s">
        <v>388</v>
      </c>
      <c r="L153" s="12" t="s">
        <v>389</v>
      </c>
    </row>
    <row r="154" customFormat="false" ht="15" hidden="false" customHeight="false" outlineLevel="0" collapsed="false">
      <c r="A154" s="12" t="s">
        <v>806</v>
      </c>
      <c r="B154" s="12" t="s">
        <v>202</v>
      </c>
      <c r="C154" s="12" t="s">
        <v>198</v>
      </c>
      <c r="D154" s="12" t="s">
        <v>63</v>
      </c>
      <c r="E154" s="12" t="s">
        <v>384</v>
      </c>
      <c r="F154" s="12" t="s">
        <v>385</v>
      </c>
      <c r="G154" s="12" t="n">
        <v>8</v>
      </c>
      <c r="H154" s="12" t="n">
        <v>0</v>
      </c>
      <c r="I154" s="12" t="n">
        <v>2</v>
      </c>
      <c r="J154" s="12" t="s">
        <v>111</v>
      </c>
      <c r="K154" s="12" t="s">
        <v>388</v>
      </c>
      <c r="L154" s="12" t="s">
        <v>389</v>
      </c>
    </row>
    <row r="155" customFormat="false" ht="15" hidden="false" customHeight="false" outlineLevel="0" collapsed="false">
      <c r="A155" s="12" t="s">
        <v>807</v>
      </c>
      <c r="B155" s="12" t="s">
        <v>202</v>
      </c>
      <c r="C155" s="12" t="s">
        <v>198</v>
      </c>
      <c r="D155" s="12" t="s">
        <v>63</v>
      </c>
      <c r="E155" s="12" t="s">
        <v>392</v>
      </c>
      <c r="F155" s="12" t="s">
        <v>393</v>
      </c>
      <c r="G155" s="12" t="n">
        <v>6</v>
      </c>
      <c r="H155" s="12" t="n">
        <v>0</v>
      </c>
      <c r="I155" s="12" t="n">
        <v>1</v>
      </c>
      <c r="J155" s="12" t="s">
        <v>111</v>
      </c>
      <c r="K155" s="12" t="s">
        <v>388</v>
      </c>
      <c r="L155" s="12" t="s">
        <v>389</v>
      </c>
    </row>
    <row r="156" customFormat="false" ht="15" hidden="false" customHeight="false" outlineLevel="0" collapsed="false">
      <c r="A156" s="12" t="s">
        <v>808</v>
      </c>
      <c r="B156" s="12" t="s">
        <v>202</v>
      </c>
      <c r="C156" s="12" t="s">
        <v>198</v>
      </c>
      <c r="D156" s="12" t="s">
        <v>63</v>
      </c>
      <c r="E156" s="12" t="s">
        <v>400</v>
      </c>
      <c r="F156" s="12" t="s">
        <v>401</v>
      </c>
      <c r="G156" s="12" t="n">
        <v>8</v>
      </c>
      <c r="H156" s="12" t="n">
        <v>0</v>
      </c>
      <c r="I156" s="12" t="n">
        <v>2</v>
      </c>
      <c r="J156" s="12" t="s">
        <v>111</v>
      </c>
      <c r="K156" s="12" t="s">
        <v>388</v>
      </c>
      <c r="L156" s="12" t="s">
        <v>389</v>
      </c>
    </row>
    <row r="157" customFormat="false" ht="15" hidden="false" customHeight="false" outlineLevel="0" collapsed="false">
      <c r="A157" s="12" t="s">
        <v>809</v>
      </c>
      <c r="B157" s="12" t="s">
        <v>202</v>
      </c>
      <c r="C157" s="12" t="s">
        <v>198</v>
      </c>
      <c r="D157" s="12" t="s">
        <v>63</v>
      </c>
      <c r="E157" s="12" t="s">
        <v>408</v>
      </c>
      <c r="F157" s="12" t="s">
        <v>409</v>
      </c>
      <c r="G157" s="12" t="n">
        <v>4</v>
      </c>
      <c r="H157" s="12" t="n">
        <v>0</v>
      </c>
      <c r="I157" s="12" t="n">
        <v>1</v>
      </c>
      <c r="J157" s="12" t="s">
        <v>111</v>
      </c>
      <c r="K157" s="12" t="s">
        <v>388</v>
      </c>
      <c r="L157" s="12" t="s">
        <v>389</v>
      </c>
    </row>
    <row r="158" customFormat="false" ht="15" hidden="false" customHeight="false" outlineLevel="0" collapsed="false">
      <c r="A158" s="12" t="s">
        <v>810</v>
      </c>
      <c r="B158" s="12" t="s">
        <v>202</v>
      </c>
      <c r="C158" s="12" t="s">
        <v>198</v>
      </c>
      <c r="D158" s="12" t="s">
        <v>63</v>
      </c>
      <c r="E158" s="12" t="s">
        <v>412</v>
      </c>
      <c r="F158" s="12" t="s">
        <v>413</v>
      </c>
      <c r="G158" s="12" t="n">
        <v>4</v>
      </c>
      <c r="H158" s="12" t="n">
        <v>0</v>
      </c>
      <c r="I158" s="12" t="n">
        <v>1</v>
      </c>
      <c r="J158" s="12" t="s">
        <v>111</v>
      </c>
      <c r="K158" s="12" t="s">
        <v>388</v>
      </c>
      <c r="L158" s="12" t="s">
        <v>389</v>
      </c>
    </row>
    <row r="159" customFormat="false" ht="15" hidden="false" customHeight="false" outlineLevel="0" collapsed="false">
      <c r="A159" s="12" t="s">
        <v>811</v>
      </c>
      <c r="B159" s="12" t="s">
        <v>202</v>
      </c>
      <c r="C159" s="12" t="s">
        <v>198</v>
      </c>
      <c r="D159" s="12" t="s">
        <v>63</v>
      </c>
      <c r="E159" s="12" t="s">
        <v>414</v>
      </c>
      <c r="F159" s="12" t="s">
        <v>415</v>
      </c>
      <c r="G159" s="12" t="n">
        <v>3</v>
      </c>
      <c r="H159" s="12" t="n">
        <v>1</v>
      </c>
      <c r="I159" s="12" t="n">
        <v>2</v>
      </c>
      <c r="J159" s="12" t="s">
        <v>113</v>
      </c>
      <c r="K159" s="12" t="s">
        <v>417</v>
      </c>
      <c r="L159" s="12" t="s">
        <v>418</v>
      </c>
    </row>
    <row r="160" customFormat="false" ht="15" hidden="false" customHeight="false" outlineLevel="0" collapsed="false">
      <c r="A160" s="12" t="s">
        <v>812</v>
      </c>
      <c r="B160" s="12" t="s">
        <v>202</v>
      </c>
      <c r="C160" s="12" t="s">
        <v>198</v>
      </c>
      <c r="D160" s="12" t="s">
        <v>63</v>
      </c>
      <c r="E160" s="12" t="s">
        <v>453</v>
      </c>
      <c r="F160" s="12" t="s">
        <v>454</v>
      </c>
      <c r="G160" s="12" t="n">
        <v>2</v>
      </c>
      <c r="H160" s="12" t="n">
        <v>0</v>
      </c>
      <c r="I160" s="12" t="n">
        <v>1</v>
      </c>
      <c r="J160" s="12" t="s">
        <v>118</v>
      </c>
      <c r="K160" s="12" t="s">
        <v>456</v>
      </c>
      <c r="L160" s="12" t="s">
        <v>389</v>
      </c>
    </row>
    <row r="161" customFormat="false" ht="15" hidden="false" customHeight="false" outlineLevel="0" collapsed="false">
      <c r="A161" s="12" t="s">
        <v>813</v>
      </c>
      <c r="B161" s="12" t="s">
        <v>202</v>
      </c>
      <c r="C161" s="12" t="s">
        <v>198</v>
      </c>
      <c r="D161" s="12" t="s">
        <v>63</v>
      </c>
      <c r="E161" s="12" t="s">
        <v>458</v>
      </c>
      <c r="F161" s="12" t="s">
        <v>459</v>
      </c>
      <c r="G161" s="12" t="n">
        <v>1</v>
      </c>
      <c r="H161" s="12" t="n">
        <v>0</v>
      </c>
      <c r="I161" s="12" t="n">
        <v>1</v>
      </c>
      <c r="J161" s="12" t="s">
        <v>118</v>
      </c>
      <c r="K161" s="12" t="s">
        <v>460</v>
      </c>
      <c r="L161" s="12" t="s">
        <v>389</v>
      </c>
    </row>
    <row r="162" customFormat="false" ht="15" hidden="false" customHeight="false" outlineLevel="0" collapsed="false">
      <c r="A162" s="12" t="s">
        <v>814</v>
      </c>
      <c r="B162" s="12" t="s">
        <v>202</v>
      </c>
      <c r="C162" s="12" t="s">
        <v>198</v>
      </c>
      <c r="D162" s="12" t="s">
        <v>63</v>
      </c>
      <c r="E162" s="12" t="s">
        <v>463</v>
      </c>
      <c r="F162" s="12" t="s">
        <v>464</v>
      </c>
      <c r="G162" s="12" t="n">
        <v>1</v>
      </c>
      <c r="H162" s="12" t="n">
        <v>0</v>
      </c>
      <c r="I162" s="12" t="n">
        <v>1</v>
      </c>
      <c r="J162" s="12" t="s">
        <v>118</v>
      </c>
      <c r="K162" s="12" t="s">
        <v>465</v>
      </c>
      <c r="L162" s="12" t="s">
        <v>418</v>
      </c>
    </row>
    <row r="163" customFormat="false" ht="15" hidden="false" customHeight="false" outlineLevel="0" collapsed="false">
      <c r="A163" s="12" t="s">
        <v>815</v>
      </c>
      <c r="B163" s="12" t="s">
        <v>202</v>
      </c>
      <c r="C163" s="12" t="s">
        <v>198</v>
      </c>
      <c r="D163" s="12" t="s">
        <v>63</v>
      </c>
      <c r="E163" s="12" t="s">
        <v>468</v>
      </c>
      <c r="F163" s="12" t="s">
        <v>469</v>
      </c>
      <c r="G163" s="12" t="n">
        <v>3</v>
      </c>
      <c r="H163" s="12" t="n">
        <v>0</v>
      </c>
      <c r="I163" s="12" t="n">
        <v>1</v>
      </c>
      <c r="J163" s="12" t="s">
        <v>118</v>
      </c>
      <c r="K163" s="12" t="s">
        <v>470</v>
      </c>
      <c r="L163" s="12" t="s">
        <v>418</v>
      </c>
    </row>
    <row r="164" customFormat="false" ht="15" hidden="false" customHeight="false" outlineLevel="0" collapsed="false">
      <c r="A164" s="12" t="s">
        <v>816</v>
      </c>
      <c r="B164" s="12" t="s">
        <v>202</v>
      </c>
      <c r="C164" s="12" t="s">
        <v>198</v>
      </c>
      <c r="D164" s="12" t="s">
        <v>63</v>
      </c>
      <c r="E164" s="12" t="s">
        <v>472</v>
      </c>
      <c r="F164" s="12" t="s">
        <v>473</v>
      </c>
      <c r="G164" s="12" t="n">
        <v>1</v>
      </c>
      <c r="H164" s="12" t="n">
        <v>0</v>
      </c>
      <c r="I164" s="12" t="n">
        <v>1</v>
      </c>
      <c r="J164" s="12" t="s">
        <v>118</v>
      </c>
      <c r="K164" s="12" t="s">
        <v>474</v>
      </c>
      <c r="L164" s="12" t="s">
        <v>418</v>
      </c>
    </row>
    <row r="165" customFormat="false" ht="15" hidden="false" customHeight="false" outlineLevel="0" collapsed="false">
      <c r="A165" s="12" t="s">
        <v>817</v>
      </c>
      <c r="B165" s="12" t="s">
        <v>202</v>
      </c>
      <c r="C165" s="12" t="s">
        <v>198</v>
      </c>
      <c r="D165" s="12" t="s">
        <v>63</v>
      </c>
      <c r="E165" s="12" t="s">
        <v>478</v>
      </c>
      <c r="F165" s="12" t="s">
        <v>479</v>
      </c>
      <c r="G165" s="12" t="n">
        <v>1</v>
      </c>
      <c r="H165" s="12" t="n">
        <v>0</v>
      </c>
      <c r="I165" s="12" t="n">
        <v>1</v>
      </c>
      <c r="J165" s="12" t="s">
        <v>480</v>
      </c>
      <c r="K165" s="12" t="s">
        <v>388</v>
      </c>
      <c r="L165" s="12" t="s">
        <v>389</v>
      </c>
    </row>
    <row r="166" customFormat="false" ht="15" hidden="false" customHeight="false" outlineLevel="0" collapsed="false">
      <c r="A166" s="12" t="s">
        <v>818</v>
      </c>
      <c r="B166" s="12" t="s">
        <v>206</v>
      </c>
      <c r="C166" s="12" t="s">
        <v>198</v>
      </c>
      <c r="D166" s="12" t="s">
        <v>63</v>
      </c>
      <c r="E166" s="12" t="s">
        <v>384</v>
      </c>
      <c r="F166" s="12" t="s">
        <v>385</v>
      </c>
      <c r="G166" s="12" t="n">
        <v>8</v>
      </c>
      <c r="H166" s="12" t="n">
        <v>0</v>
      </c>
      <c r="I166" s="12" t="n">
        <v>2</v>
      </c>
      <c r="J166" s="12" t="s">
        <v>111</v>
      </c>
      <c r="K166" s="12" t="s">
        <v>388</v>
      </c>
      <c r="L166" s="12" t="s">
        <v>389</v>
      </c>
    </row>
    <row r="167" customFormat="false" ht="15" hidden="false" customHeight="false" outlineLevel="0" collapsed="false">
      <c r="A167" s="12" t="s">
        <v>819</v>
      </c>
      <c r="B167" s="12" t="s">
        <v>206</v>
      </c>
      <c r="C167" s="12" t="s">
        <v>198</v>
      </c>
      <c r="D167" s="12" t="s">
        <v>63</v>
      </c>
      <c r="E167" s="12" t="s">
        <v>392</v>
      </c>
      <c r="F167" s="12" t="s">
        <v>393</v>
      </c>
      <c r="G167" s="12" t="n">
        <v>6</v>
      </c>
      <c r="H167" s="12" t="n">
        <v>0</v>
      </c>
      <c r="I167" s="12" t="n">
        <v>1</v>
      </c>
      <c r="J167" s="12" t="s">
        <v>111</v>
      </c>
      <c r="K167" s="12" t="s">
        <v>388</v>
      </c>
      <c r="L167" s="12" t="s">
        <v>389</v>
      </c>
    </row>
    <row r="168" customFormat="false" ht="15" hidden="false" customHeight="false" outlineLevel="0" collapsed="false">
      <c r="A168" s="12" t="s">
        <v>820</v>
      </c>
      <c r="B168" s="12" t="s">
        <v>206</v>
      </c>
      <c r="C168" s="12" t="s">
        <v>198</v>
      </c>
      <c r="D168" s="12" t="s">
        <v>63</v>
      </c>
      <c r="E168" s="12" t="s">
        <v>400</v>
      </c>
      <c r="F168" s="12" t="s">
        <v>401</v>
      </c>
      <c r="G168" s="12" t="n">
        <v>8</v>
      </c>
      <c r="H168" s="12" t="n">
        <v>0</v>
      </c>
      <c r="I168" s="12" t="n">
        <v>2</v>
      </c>
      <c r="J168" s="12" t="s">
        <v>111</v>
      </c>
      <c r="K168" s="12" t="s">
        <v>388</v>
      </c>
      <c r="L168" s="12" t="s">
        <v>389</v>
      </c>
    </row>
    <row r="169" customFormat="false" ht="15" hidden="false" customHeight="false" outlineLevel="0" collapsed="false">
      <c r="A169" s="12" t="s">
        <v>821</v>
      </c>
      <c r="B169" s="12" t="s">
        <v>206</v>
      </c>
      <c r="C169" s="12" t="s">
        <v>198</v>
      </c>
      <c r="D169" s="12" t="s">
        <v>63</v>
      </c>
      <c r="E169" s="12" t="s">
        <v>408</v>
      </c>
      <c r="F169" s="12" t="s">
        <v>409</v>
      </c>
      <c r="G169" s="12" t="n">
        <v>4</v>
      </c>
      <c r="H169" s="12" t="n">
        <v>0</v>
      </c>
      <c r="I169" s="12" t="n">
        <v>1</v>
      </c>
      <c r="J169" s="12" t="s">
        <v>111</v>
      </c>
      <c r="K169" s="12" t="s">
        <v>388</v>
      </c>
      <c r="L169" s="12" t="s">
        <v>389</v>
      </c>
    </row>
    <row r="170" customFormat="false" ht="15" hidden="false" customHeight="false" outlineLevel="0" collapsed="false">
      <c r="A170" s="12" t="s">
        <v>822</v>
      </c>
      <c r="B170" s="12" t="s">
        <v>206</v>
      </c>
      <c r="C170" s="12" t="s">
        <v>198</v>
      </c>
      <c r="D170" s="12" t="s">
        <v>63</v>
      </c>
      <c r="E170" s="12" t="s">
        <v>412</v>
      </c>
      <c r="F170" s="12" t="s">
        <v>413</v>
      </c>
      <c r="G170" s="12" t="n">
        <v>4</v>
      </c>
      <c r="H170" s="12" t="n">
        <v>0</v>
      </c>
      <c r="I170" s="12" t="n">
        <v>1</v>
      </c>
      <c r="J170" s="12" t="s">
        <v>111</v>
      </c>
      <c r="K170" s="12" t="s">
        <v>388</v>
      </c>
      <c r="L170" s="12" t="s">
        <v>389</v>
      </c>
    </row>
    <row r="171" customFormat="false" ht="15" hidden="false" customHeight="false" outlineLevel="0" collapsed="false">
      <c r="A171" s="12" t="s">
        <v>823</v>
      </c>
      <c r="B171" s="12" t="s">
        <v>206</v>
      </c>
      <c r="C171" s="12" t="s">
        <v>198</v>
      </c>
      <c r="D171" s="12" t="s">
        <v>63</v>
      </c>
      <c r="E171" s="12" t="s">
        <v>414</v>
      </c>
      <c r="F171" s="12" t="s">
        <v>415</v>
      </c>
      <c r="G171" s="12" t="n">
        <v>3</v>
      </c>
      <c r="H171" s="12" t="n">
        <v>1</v>
      </c>
      <c r="I171" s="12" t="n">
        <v>2</v>
      </c>
      <c r="J171" s="12" t="s">
        <v>113</v>
      </c>
      <c r="K171" s="12" t="s">
        <v>417</v>
      </c>
      <c r="L171" s="12" t="s">
        <v>418</v>
      </c>
    </row>
    <row r="172" customFormat="false" ht="15" hidden="false" customHeight="false" outlineLevel="0" collapsed="false">
      <c r="A172" s="12" t="s">
        <v>824</v>
      </c>
      <c r="B172" s="12" t="s">
        <v>206</v>
      </c>
      <c r="C172" s="12" t="s">
        <v>198</v>
      </c>
      <c r="D172" s="12" t="s">
        <v>63</v>
      </c>
      <c r="E172" s="12" t="s">
        <v>453</v>
      </c>
      <c r="F172" s="12" t="s">
        <v>454</v>
      </c>
      <c r="G172" s="12" t="n">
        <v>2</v>
      </c>
      <c r="H172" s="12" t="n">
        <v>0</v>
      </c>
      <c r="I172" s="12" t="n">
        <v>1</v>
      </c>
      <c r="J172" s="12" t="s">
        <v>118</v>
      </c>
      <c r="K172" s="12" t="s">
        <v>456</v>
      </c>
      <c r="L172" s="12" t="s">
        <v>389</v>
      </c>
    </row>
    <row r="173" customFormat="false" ht="15" hidden="false" customHeight="false" outlineLevel="0" collapsed="false">
      <c r="A173" s="12" t="s">
        <v>825</v>
      </c>
      <c r="B173" s="12" t="s">
        <v>206</v>
      </c>
      <c r="C173" s="12" t="s">
        <v>198</v>
      </c>
      <c r="D173" s="12" t="s">
        <v>63</v>
      </c>
      <c r="E173" s="12" t="s">
        <v>458</v>
      </c>
      <c r="F173" s="12" t="s">
        <v>459</v>
      </c>
      <c r="G173" s="12" t="n">
        <v>1</v>
      </c>
      <c r="H173" s="12" t="n">
        <v>0</v>
      </c>
      <c r="I173" s="12" t="n">
        <v>1</v>
      </c>
      <c r="J173" s="12" t="s">
        <v>118</v>
      </c>
      <c r="K173" s="12" t="s">
        <v>460</v>
      </c>
      <c r="L173" s="12" t="s">
        <v>389</v>
      </c>
    </row>
    <row r="174" customFormat="false" ht="15" hidden="false" customHeight="false" outlineLevel="0" collapsed="false">
      <c r="A174" s="12" t="s">
        <v>826</v>
      </c>
      <c r="B174" s="12" t="s">
        <v>206</v>
      </c>
      <c r="C174" s="12" t="s">
        <v>198</v>
      </c>
      <c r="D174" s="12" t="s">
        <v>63</v>
      </c>
      <c r="E174" s="12" t="s">
        <v>463</v>
      </c>
      <c r="F174" s="12" t="s">
        <v>464</v>
      </c>
      <c r="G174" s="12" t="n">
        <v>1</v>
      </c>
      <c r="H174" s="12" t="n">
        <v>0</v>
      </c>
      <c r="I174" s="12" t="n">
        <v>1</v>
      </c>
      <c r="J174" s="12" t="s">
        <v>118</v>
      </c>
      <c r="K174" s="12" t="s">
        <v>465</v>
      </c>
      <c r="L174" s="12" t="s">
        <v>418</v>
      </c>
    </row>
    <row r="175" customFormat="false" ht="15" hidden="false" customHeight="false" outlineLevel="0" collapsed="false">
      <c r="A175" s="12" t="s">
        <v>827</v>
      </c>
      <c r="B175" s="12" t="s">
        <v>206</v>
      </c>
      <c r="C175" s="12" t="s">
        <v>198</v>
      </c>
      <c r="D175" s="12" t="s">
        <v>63</v>
      </c>
      <c r="E175" s="12" t="s">
        <v>468</v>
      </c>
      <c r="F175" s="12" t="s">
        <v>469</v>
      </c>
      <c r="G175" s="12" t="n">
        <v>3</v>
      </c>
      <c r="H175" s="12" t="n">
        <v>0</v>
      </c>
      <c r="I175" s="12" t="n">
        <v>1</v>
      </c>
      <c r="J175" s="12" t="s">
        <v>118</v>
      </c>
      <c r="K175" s="12" t="s">
        <v>470</v>
      </c>
      <c r="L175" s="12" t="s">
        <v>418</v>
      </c>
    </row>
    <row r="176" customFormat="false" ht="15" hidden="false" customHeight="false" outlineLevel="0" collapsed="false">
      <c r="A176" s="12" t="s">
        <v>828</v>
      </c>
      <c r="B176" s="12" t="s">
        <v>206</v>
      </c>
      <c r="C176" s="12" t="s">
        <v>198</v>
      </c>
      <c r="D176" s="12" t="s">
        <v>63</v>
      </c>
      <c r="E176" s="12" t="s">
        <v>472</v>
      </c>
      <c r="F176" s="12" t="s">
        <v>473</v>
      </c>
      <c r="G176" s="12" t="n">
        <v>1</v>
      </c>
      <c r="H176" s="12" t="n">
        <v>0</v>
      </c>
      <c r="I176" s="12" t="n">
        <v>1</v>
      </c>
      <c r="J176" s="12" t="s">
        <v>118</v>
      </c>
      <c r="K176" s="12" t="s">
        <v>474</v>
      </c>
      <c r="L176" s="12" t="s">
        <v>418</v>
      </c>
    </row>
    <row r="177" customFormat="false" ht="15" hidden="false" customHeight="false" outlineLevel="0" collapsed="false">
      <c r="A177" s="12" t="s">
        <v>829</v>
      </c>
      <c r="B177" s="12" t="s">
        <v>206</v>
      </c>
      <c r="C177" s="12" t="s">
        <v>198</v>
      </c>
      <c r="D177" s="12" t="s">
        <v>63</v>
      </c>
      <c r="E177" s="12" t="s">
        <v>478</v>
      </c>
      <c r="F177" s="12" t="s">
        <v>479</v>
      </c>
      <c r="G177" s="12" t="n">
        <v>1</v>
      </c>
      <c r="H177" s="12" t="n">
        <v>0</v>
      </c>
      <c r="I177" s="12" t="n">
        <v>1</v>
      </c>
      <c r="J177" s="12" t="s">
        <v>480</v>
      </c>
      <c r="K177" s="12" t="s">
        <v>388</v>
      </c>
      <c r="L177" s="12" t="s">
        <v>389</v>
      </c>
    </row>
    <row r="178" customFormat="false" ht="15" hidden="false" customHeight="false" outlineLevel="0" collapsed="false">
      <c r="A178" s="12" t="s">
        <v>830</v>
      </c>
      <c r="B178" s="12" t="s">
        <v>210</v>
      </c>
      <c r="C178" s="12" t="s">
        <v>198</v>
      </c>
      <c r="D178" s="12" t="s">
        <v>63</v>
      </c>
      <c r="E178" s="12" t="s">
        <v>384</v>
      </c>
      <c r="F178" s="12" t="s">
        <v>385</v>
      </c>
      <c r="G178" s="12" t="n">
        <v>8</v>
      </c>
      <c r="H178" s="12" t="n">
        <v>0</v>
      </c>
      <c r="I178" s="12" t="n">
        <v>2</v>
      </c>
      <c r="J178" s="12" t="s">
        <v>111</v>
      </c>
      <c r="K178" s="12" t="s">
        <v>388</v>
      </c>
      <c r="L178" s="12" t="s">
        <v>389</v>
      </c>
    </row>
    <row r="179" customFormat="false" ht="15" hidden="false" customHeight="false" outlineLevel="0" collapsed="false">
      <c r="A179" s="12" t="s">
        <v>831</v>
      </c>
      <c r="B179" s="12" t="s">
        <v>210</v>
      </c>
      <c r="C179" s="12" t="s">
        <v>198</v>
      </c>
      <c r="D179" s="12" t="s">
        <v>63</v>
      </c>
      <c r="E179" s="12" t="s">
        <v>392</v>
      </c>
      <c r="F179" s="12" t="s">
        <v>393</v>
      </c>
      <c r="G179" s="12" t="n">
        <v>6</v>
      </c>
      <c r="H179" s="12" t="n">
        <v>0</v>
      </c>
      <c r="I179" s="12" t="n">
        <v>1</v>
      </c>
      <c r="J179" s="12" t="s">
        <v>111</v>
      </c>
      <c r="K179" s="12" t="s">
        <v>388</v>
      </c>
      <c r="L179" s="12" t="s">
        <v>389</v>
      </c>
    </row>
    <row r="180" customFormat="false" ht="15" hidden="false" customHeight="false" outlineLevel="0" collapsed="false">
      <c r="A180" s="12" t="s">
        <v>832</v>
      </c>
      <c r="B180" s="12" t="s">
        <v>210</v>
      </c>
      <c r="C180" s="12" t="s">
        <v>198</v>
      </c>
      <c r="D180" s="12" t="s">
        <v>63</v>
      </c>
      <c r="E180" s="12" t="s">
        <v>400</v>
      </c>
      <c r="F180" s="12" t="s">
        <v>401</v>
      </c>
      <c r="G180" s="12" t="n">
        <v>8</v>
      </c>
      <c r="H180" s="12" t="n">
        <v>0</v>
      </c>
      <c r="I180" s="12" t="n">
        <v>2</v>
      </c>
      <c r="J180" s="12" t="s">
        <v>111</v>
      </c>
      <c r="K180" s="12" t="s">
        <v>388</v>
      </c>
      <c r="L180" s="12" t="s">
        <v>389</v>
      </c>
    </row>
    <row r="181" customFormat="false" ht="15" hidden="false" customHeight="false" outlineLevel="0" collapsed="false">
      <c r="A181" s="12" t="s">
        <v>833</v>
      </c>
      <c r="B181" s="12" t="s">
        <v>210</v>
      </c>
      <c r="C181" s="12" t="s">
        <v>198</v>
      </c>
      <c r="D181" s="12" t="s">
        <v>63</v>
      </c>
      <c r="E181" s="12" t="s">
        <v>408</v>
      </c>
      <c r="F181" s="12" t="s">
        <v>409</v>
      </c>
      <c r="G181" s="12" t="n">
        <v>4</v>
      </c>
      <c r="H181" s="12" t="n">
        <v>0</v>
      </c>
      <c r="I181" s="12" t="n">
        <v>1</v>
      </c>
      <c r="J181" s="12" t="s">
        <v>111</v>
      </c>
      <c r="K181" s="12" t="s">
        <v>388</v>
      </c>
      <c r="L181" s="12" t="s">
        <v>389</v>
      </c>
    </row>
    <row r="182" customFormat="false" ht="15" hidden="false" customHeight="false" outlineLevel="0" collapsed="false">
      <c r="A182" s="12" t="s">
        <v>834</v>
      </c>
      <c r="B182" s="12" t="s">
        <v>210</v>
      </c>
      <c r="C182" s="12" t="s">
        <v>198</v>
      </c>
      <c r="D182" s="12" t="s">
        <v>63</v>
      </c>
      <c r="E182" s="12" t="s">
        <v>412</v>
      </c>
      <c r="F182" s="12" t="s">
        <v>413</v>
      </c>
      <c r="G182" s="12" t="n">
        <v>4</v>
      </c>
      <c r="H182" s="12" t="n">
        <v>0</v>
      </c>
      <c r="I182" s="12" t="n">
        <v>1</v>
      </c>
      <c r="J182" s="12" t="s">
        <v>111</v>
      </c>
      <c r="K182" s="12" t="s">
        <v>388</v>
      </c>
      <c r="L182" s="12" t="s">
        <v>389</v>
      </c>
    </row>
    <row r="183" customFormat="false" ht="15" hidden="false" customHeight="false" outlineLevel="0" collapsed="false">
      <c r="A183" s="12" t="s">
        <v>835</v>
      </c>
      <c r="B183" s="12" t="s">
        <v>210</v>
      </c>
      <c r="C183" s="12" t="s">
        <v>198</v>
      </c>
      <c r="D183" s="12" t="s">
        <v>63</v>
      </c>
      <c r="E183" s="12" t="s">
        <v>414</v>
      </c>
      <c r="F183" s="12" t="s">
        <v>415</v>
      </c>
      <c r="G183" s="12" t="n">
        <v>3</v>
      </c>
      <c r="H183" s="12" t="n">
        <v>1</v>
      </c>
      <c r="I183" s="12" t="n">
        <v>2</v>
      </c>
      <c r="J183" s="12" t="s">
        <v>113</v>
      </c>
      <c r="K183" s="12" t="s">
        <v>417</v>
      </c>
      <c r="L183" s="12" t="s">
        <v>418</v>
      </c>
    </row>
    <row r="184" customFormat="false" ht="15" hidden="false" customHeight="false" outlineLevel="0" collapsed="false">
      <c r="A184" s="12" t="s">
        <v>836</v>
      </c>
      <c r="B184" s="12" t="s">
        <v>210</v>
      </c>
      <c r="C184" s="12" t="s">
        <v>198</v>
      </c>
      <c r="D184" s="12" t="s">
        <v>63</v>
      </c>
      <c r="E184" s="12" t="s">
        <v>453</v>
      </c>
      <c r="F184" s="12" t="s">
        <v>454</v>
      </c>
      <c r="G184" s="12" t="n">
        <v>2</v>
      </c>
      <c r="H184" s="12" t="n">
        <v>0</v>
      </c>
      <c r="I184" s="12" t="n">
        <v>1</v>
      </c>
      <c r="J184" s="12" t="s">
        <v>118</v>
      </c>
      <c r="K184" s="12" t="s">
        <v>456</v>
      </c>
      <c r="L184" s="12" t="s">
        <v>389</v>
      </c>
    </row>
    <row r="185" customFormat="false" ht="15" hidden="false" customHeight="false" outlineLevel="0" collapsed="false">
      <c r="A185" s="12" t="s">
        <v>837</v>
      </c>
      <c r="B185" s="12" t="s">
        <v>210</v>
      </c>
      <c r="C185" s="12" t="s">
        <v>198</v>
      </c>
      <c r="D185" s="12" t="s">
        <v>63</v>
      </c>
      <c r="E185" s="12" t="s">
        <v>458</v>
      </c>
      <c r="F185" s="12" t="s">
        <v>459</v>
      </c>
      <c r="G185" s="12" t="n">
        <v>1</v>
      </c>
      <c r="H185" s="12" t="n">
        <v>0</v>
      </c>
      <c r="I185" s="12" t="n">
        <v>1</v>
      </c>
      <c r="J185" s="12" t="s">
        <v>118</v>
      </c>
      <c r="K185" s="12" t="s">
        <v>460</v>
      </c>
      <c r="L185" s="12" t="s">
        <v>389</v>
      </c>
    </row>
    <row r="186" customFormat="false" ht="15" hidden="false" customHeight="false" outlineLevel="0" collapsed="false">
      <c r="A186" s="12" t="s">
        <v>838</v>
      </c>
      <c r="B186" s="12" t="s">
        <v>210</v>
      </c>
      <c r="C186" s="12" t="s">
        <v>198</v>
      </c>
      <c r="D186" s="12" t="s">
        <v>63</v>
      </c>
      <c r="E186" s="12" t="s">
        <v>463</v>
      </c>
      <c r="F186" s="12" t="s">
        <v>464</v>
      </c>
      <c r="G186" s="12" t="n">
        <v>1</v>
      </c>
      <c r="H186" s="12" t="n">
        <v>0</v>
      </c>
      <c r="I186" s="12" t="n">
        <v>1</v>
      </c>
      <c r="J186" s="12" t="s">
        <v>118</v>
      </c>
      <c r="K186" s="12" t="s">
        <v>465</v>
      </c>
      <c r="L186" s="12" t="s">
        <v>418</v>
      </c>
    </row>
    <row r="187" customFormat="false" ht="15" hidden="false" customHeight="false" outlineLevel="0" collapsed="false">
      <c r="A187" s="12" t="s">
        <v>839</v>
      </c>
      <c r="B187" s="12" t="s">
        <v>210</v>
      </c>
      <c r="C187" s="12" t="s">
        <v>198</v>
      </c>
      <c r="D187" s="12" t="s">
        <v>63</v>
      </c>
      <c r="E187" s="12" t="s">
        <v>468</v>
      </c>
      <c r="F187" s="12" t="s">
        <v>469</v>
      </c>
      <c r="G187" s="12" t="n">
        <v>3</v>
      </c>
      <c r="H187" s="12" t="n">
        <v>0</v>
      </c>
      <c r="I187" s="12" t="n">
        <v>1</v>
      </c>
      <c r="J187" s="12" t="s">
        <v>118</v>
      </c>
      <c r="K187" s="12" t="s">
        <v>470</v>
      </c>
      <c r="L187" s="12" t="s">
        <v>418</v>
      </c>
    </row>
    <row r="188" customFormat="false" ht="15" hidden="false" customHeight="false" outlineLevel="0" collapsed="false">
      <c r="A188" s="12" t="s">
        <v>840</v>
      </c>
      <c r="B188" s="12" t="s">
        <v>210</v>
      </c>
      <c r="C188" s="12" t="s">
        <v>198</v>
      </c>
      <c r="D188" s="12" t="s">
        <v>63</v>
      </c>
      <c r="E188" s="12" t="s">
        <v>472</v>
      </c>
      <c r="F188" s="12" t="s">
        <v>473</v>
      </c>
      <c r="G188" s="12" t="n">
        <v>1</v>
      </c>
      <c r="H188" s="12" t="n">
        <v>0</v>
      </c>
      <c r="I188" s="12" t="n">
        <v>1</v>
      </c>
      <c r="J188" s="12" t="s">
        <v>118</v>
      </c>
      <c r="K188" s="12" t="s">
        <v>474</v>
      </c>
      <c r="L188" s="12" t="s">
        <v>418</v>
      </c>
    </row>
    <row r="189" customFormat="false" ht="15" hidden="false" customHeight="false" outlineLevel="0" collapsed="false">
      <c r="A189" s="12" t="s">
        <v>841</v>
      </c>
      <c r="B189" s="12" t="s">
        <v>210</v>
      </c>
      <c r="C189" s="12" t="s">
        <v>198</v>
      </c>
      <c r="D189" s="12" t="s">
        <v>63</v>
      </c>
      <c r="E189" s="12" t="s">
        <v>478</v>
      </c>
      <c r="F189" s="12" t="s">
        <v>479</v>
      </c>
      <c r="G189" s="12" t="n">
        <v>1</v>
      </c>
      <c r="H189" s="12" t="n">
        <v>0</v>
      </c>
      <c r="I189" s="12" t="n">
        <v>1</v>
      </c>
      <c r="J189" s="12" t="s">
        <v>480</v>
      </c>
      <c r="K189" s="12" t="s">
        <v>388</v>
      </c>
      <c r="L189" s="12" t="s">
        <v>389</v>
      </c>
    </row>
    <row r="190" customFormat="false" ht="15" hidden="false" customHeight="false" outlineLevel="0" collapsed="false">
      <c r="A190" s="12" t="s">
        <v>842</v>
      </c>
      <c r="B190" s="12" t="s">
        <v>214</v>
      </c>
      <c r="C190" s="12" t="s">
        <v>215</v>
      </c>
      <c r="D190" s="12" t="s">
        <v>63</v>
      </c>
      <c r="E190" s="12" t="s">
        <v>384</v>
      </c>
      <c r="F190" s="12" t="s">
        <v>385</v>
      </c>
      <c r="G190" s="12" t="n">
        <v>8</v>
      </c>
      <c r="H190" s="12" t="n">
        <v>0</v>
      </c>
      <c r="I190" s="12" t="n">
        <v>2</v>
      </c>
      <c r="J190" s="12" t="s">
        <v>111</v>
      </c>
      <c r="K190" s="12" t="s">
        <v>388</v>
      </c>
      <c r="L190" s="12" t="s">
        <v>389</v>
      </c>
    </row>
    <row r="191" customFormat="false" ht="15" hidden="false" customHeight="false" outlineLevel="0" collapsed="false">
      <c r="A191" s="12" t="s">
        <v>843</v>
      </c>
      <c r="B191" s="12" t="s">
        <v>214</v>
      </c>
      <c r="C191" s="12" t="s">
        <v>215</v>
      </c>
      <c r="D191" s="12" t="s">
        <v>63</v>
      </c>
      <c r="E191" s="12" t="s">
        <v>392</v>
      </c>
      <c r="F191" s="12" t="s">
        <v>393</v>
      </c>
      <c r="G191" s="12" t="n">
        <v>6</v>
      </c>
      <c r="H191" s="12" t="n">
        <v>0</v>
      </c>
      <c r="I191" s="12" t="n">
        <v>1</v>
      </c>
      <c r="J191" s="12" t="s">
        <v>111</v>
      </c>
      <c r="K191" s="12" t="s">
        <v>388</v>
      </c>
      <c r="L191" s="12" t="s">
        <v>389</v>
      </c>
    </row>
    <row r="192" customFormat="false" ht="15" hidden="false" customHeight="false" outlineLevel="0" collapsed="false">
      <c r="A192" s="12" t="s">
        <v>844</v>
      </c>
      <c r="B192" s="12" t="s">
        <v>214</v>
      </c>
      <c r="C192" s="12" t="s">
        <v>215</v>
      </c>
      <c r="D192" s="12" t="s">
        <v>63</v>
      </c>
      <c r="E192" s="12" t="s">
        <v>400</v>
      </c>
      <c r="F192" s="12" t="s">
        <v>401</v>
      </c>
      <c r="G192" s="12" t="n">
        <v>8</v>
      </c>
      <c r="H192" s="12" t="n">
        <v>0</v>
      </c>
      <c r="I192" s="12" t="n">
        <v>2</v>
      </c>
      <c r="J192" s="12" t="s">
        <v>111</v>
      </c>
      <c r="K192" s="12" t="s">
        <v>388</v>
      </c>
      <c r="L192" s="12" t="s">
        <v>389</v>
      </c>
    </row>
    <row r="193" customFormat="false" ht="15" hidden="false" customHeight="false" outlineLevel="0" collapsed="false">
      <c r="A193" s="12" t="s">
        <v>845</v>
      </c>
      <c r="B193" s="12" t="s">
        <v>214</v>
      </c>
      <c r="C193" s="12" t="s">
        <v>215</v>
      </c>
      <c r="D193" s="12" t="s">
        <v>63</v>
      </c>
      <c r="E193" s="12" t="s">
        <v>408</v>
      </c>
      <c r="F193" s="12" t="s">
        <v>409</v>
      </c>
      <c r="G193" s="12" t="n">
        <v>4</v>
      </c>
      <c r="H193" s="12" t="n">
        <v>0</v>
      </c>
      <c r="I193" s="12" t="n">
        <v>1</v>
      </c>
      <c r="J193" s="12" t="s">
        <v>111</v>
      </c>
      <c r="K193" s="12" t="s">
        <v>388</v>
      </c>
      <c r="L193" s="12" t="s">
        <v>389</v>
      </c>
    </row>
    <row r="194" customFormat="false" ht="15" hidden="false" customHeight="false" outlineLevel="0" collapsed="false">
      <c r="A194" s="12" t="s">
        <v>846</v>
      </c>
      <c r="B194" s="12" t="s">
        <v>214</v>
      </c>
      <c r="C194" s="12" t="s">
        <v>215</v>
      </c>
      <c r="D194" s="12" t="s">
        <v>63</v>
      </c>
      <c r="E194" s="12" t="s">
        <v>412</v>
      </c>
      <c r="F194" s="12" t="s">
        <v>413</v>
      </c>
      <c r="G194" s="12" t="n">
        <v>4</v>
      </c>
      <c r="H194" s="12" t="n">
        <v>0</v>
      </c>
      <c r="I194" s="12" t="n">
        <v>1</v>
      </c>
      <c r="J194" s="12" t="s">
        <v>111</v>
      </c>
      <c r="K194" s="12" t="s">
        <v>388</v>
      </c>
      <c r="L194" s="12" t="s">
        <v>389</v>
      </c>
    </row>
    <row r="195" customFormat="false" ht="15" hidden="false" customHeight="false" outlineLevel="0" collapsed="false">
      <c r="A195" s="12" t="s">
        <v>847</v>
      </c>
      <c r="B195" s="12" t="s">
        <v>214</v>
      </c>
      <c r="C195" s="12" t="s">
        <v>215</v>
      </c>
      <c r="D195" s="12" t="s">
        <v>63</v>
      </c>
      <c r="E195" s="12" t="s">
        <v>414</v>
      </c>
      <c r="F195" s="12" t="s">
        <v>415</v>
      </c>
      <c r="G195" s="12" t="n">
        <v>3</v>
      </c>
      <c r="H195" s="12" t="n">
        <v>1</v>
      </c>
      <c r="I195" s="12" t="n">
        <v>2</v>
      </c>
      <c r="J195" s="12" t="s">
        <v>113</v>
      </c>
      <c r="K195" s="12" t="s">
        <v>417</v>
      </c>
      <c r="L195" s="12" t="s">
        <v>418</v>
      </c>
    </row>
    <row r="196" customFormat="false" ht="15" hidden="false" customHeight="false" outlineLevel="0" collapsed="false">
      <c r="A196" s="12" t="s">
        <v>848</v>
      </c>
      <c r="B196" s="12" t="s">
        <v>214</v>
      </c>
      <c r="C196" s="12" t="s">
        <v>215</v>
      </c>
      <c r="D196" s="12" t="s">
        <v>63</v>
      </c>
      <c r="E196" s="12" t="s">
        <v>453</v>
      </c>
      <c r="F196" s="12" t="s">
        <v>454</v>
      </c>
      <c r="G196" s="12" t="n">
        <v>2</v>
      </c>
      <c r="H196" s="12" t="n">
        <v>0</v>
      </c>
      <c r="I196" s="12" t="n">
        <v>1</v>
      </c>
      <c r="J196" s="12" t="s">
        <v>118</v>
      </c>
      <c r="K196" s="12" t="s">
        <v>456</v>
      </c>
      <c r="L196" s="12" t="s">
        <v>389</v>
      </c>
    </row>
    <row r="197" customFormat="false" ht="15" hidden="false" customHeight="false" outlineLevel="0" collapsed="false">
      <c r="A197" s="12" t="s">
        <v>849</v>
      </c>
      <c r="B197" s="12" t="s">
        <v>214</v>
      </c>
      <c r="C197" s="12" t="s">
        <v>215</v>
      </c>
      <c r="D197" s="12" t="s">
        <v>63</v>
      </c>
      <c r="E197" s="12" t="s">
        <v>458</v>
      </c>
      <c r="F197" s="12" t="s">
        <v>459</v>
      </c>
      <c r="G197" s="12" t="n">
        <v>1</v>
      </c>
      <c r="H197" s="12" t="n">
        <v>0</v>
      </c>
      <c r="I197" s="12" t="n">
        <v>1</v>
      </c>
      <c r="J197" s="12" t="s">
        <v>118</v>
      </c>
      <c r="K197" s="12" t="s">
        <v>460</v>
      </c>
      <c r="L197" s="12" t="s">
        <v>389</v>
      </c>
    </row>
    <row r="198" customFormat="false" ht="15" hidden="false" customHeight="false" outlineLevel="0" collapsed="false">
      <c r="A198" s="12" t="s">
        <v>850</v>
      </c>
      <c r="B198" s="12" t="s">
        <v>214</v>
      </c>
      <c r="C198" s="12" t="s">
        <v>215</v>
      </c>
      <c r="D198" s="12" t="s">
        <v>63</v>
      </c>
      <c r="E198" s="12" t="s">
        <v>463</v>
      </c>
      <c r="F198" s="12" t="s">
        <v>464</v>
      </c>
      <c r="G198" s="12" t="n">
        <v>1</v>
      </c>
      <c r="H198" s="12" t="n">
        <v>0</v>
      </c>
      <c r="I198" s="12" t="n">
        <v>1</v>
      </c>
      <c r="J198" s="12" t="s">
        <v>118</v>
      </c>
      <c r="K198" s="12" t="s">
        <v>465</v>
      </c>
      <c r="L198" s="12" t="s">
        <v>418</v>
      </c>
    </row>
    <row r="199" customFormat="false" ht="15" hidden="false" customHeight="false" outlineLevel="0" collapsed="false">
      <c r="A199" s="12" t="s">
        <v>851</v>
      </c>
      <c r="B199" s="12" t="s">
        <v>214</v>
      </c>
      <c r="C199" s="12" t="s">
        <v>215</v>
      </c>
      <c r="D199" s="12" t="s">
        <v>63</v>
      </c>
      <c r="E199" s="12" t="s">
        <v>468</v>
      </c>
      <c r="F199" s="12" t="s">
        <v>469</v>
      </c>
      <c r="G199" s="12" t="n">
        <v>3</v>
      </c>
      <c r="H199" s="12" t="n">
        <v>0</v>
      </c>
      <c r="I199" s="12" t="n">
        <v>1</v>
      </c>
      <c r="J199" s="12" t="s">
        <v>118</v>
      </c>
      <c r="K199" s="12" t="s">
        <v>470</v>
      </c>
      <c r="L199" s="12" t="s">
        <v>418</v>
      </c>
    </row>
    <row r="200" customFormat="false" ht="15" hidden="false" customHeight="false" outlineLevel="0" collapsed="false">
      <c r="A200" s="12" t="s">
        <v>852</v>
      </c>
      <c r="B200" s="12" t="s">
        <v>214</v>
      </c>
      <c r="C200" s="12" t="s">
        <v>215</v>
      </c>
      <c r="D200" s="12" t="s">
        <v>63</v>
      </c>
      <c r="E200" s="12" t="s">
        <v>472</v>
      </c>
      <c r="F200" s="12" t="s">
        <v>473</v>
      </c>
      <c r="G200" s="12" t="n">
        <v>1</v>
      </c>
      <c r="H200" s="12" t="n">
        <v>0</v>
      </c>
      <c r="I200" s="12" t="n">
        <v>1</v>
      </c>
      <c r="J200" s="12" t="s">
        <v>118</v>
      </c>
      <c r="K200" s="12" t="s">
        <v>474</v>
      </c>
      <c r="L200" s="12" t="s">
        <v>418</v>
      </c>
    </row>
    <row r="201" customFormat="false" ht="15" hidden="false" customHeight="false" outlineLevel="0" collapsed="false">
      <c r="A201" s="12" t="s">
        <v>853</v>
      </c>
      <c r="B201" s="12" t="s">
        <v>214</v>
      </c>
      <c r="C201" s="12" t="s">
        <v>215</v>
      </c>
      <c r="D201" s="12" t="s">
        <v>63</v>
      </c>
      <c r="E201" s="12" t="s">
        <v>478</v>
      </c>
      <c r="F201" s="12" t="s">
        <v>479</v>
      </c>
      <c r="G201" s="12" t="n">
        <v>1</v>
      </c>
      <c r="H201" s="12" t="n">
        <v>0</v>
      </c>
      <c r="I201" s="12" t="n">
        <v>1</v>
      </c>
      <c r="J201" s="12" t="s">
        <v>480</v>
      </c>
      <c r="K201" s="12" t="s">
        <v>388</v>
      </c>
      <c r="L201" s="12" t="s">
        <v>389</v>
      </c>
    </row>
    <row r="202" customFormat="false" ht="15" hidden="false" customHeight="false" outlineLevel="0" collapsed="false">
      <c r="A202" s="12" t="s">
        <v>854</v>
      </c>
      <c r="B202" s="12" t="s">
        <v>219</v>
      </c>
      <c r="C202" s="12" t="s">
        <v>215</v>
      </c>
      <c r="D202" s="12" t="s">
        <v>63</v>
      </c>
      <c r="E202" s="12" t="s">
        <v>384</v>
      </c>
      <c r="F202" s="12" t="s">
        <v>385</v>
      </c>
      <c r="G202" s="12" t="n">
        <v>8</v>
      </c>
      <c r="H202" s="12" t="n">
        <v>0</v>
      </c>
      <c r="I202" s="12" t="n">
        <v>2</v>
      </c>
      <c r="J202" s="12" t="s">
        <v>111</v>
      </c>
      <c r="K202" s="12" t="s">
        <v>388</v>
      </c>
      <c r="L202" s="12" t="s">
        <v>389</v>
      </c>
    </row>
    <row r="203" customFormat="false" ht="15" hidden="false" customHeight="false" outlineLevel="0" collapsed="false">
      <c r="A203" s="12" t="s">
        <v>855</v>
      </c>
      <c r="B203" s="12" t="s">
        <v>219</v>
      </c>
      <c r="C203" s="12" t="s">
        <v>215</v>
      </c>
      <c r="D203" s="12" t="s">
        <v>63</v>
      </c>
      <c r="E203" s="12" t="s">
        <v>392</v>
      </c>
      <c r="F203" s="12" t="s">
        <v>393</v>
      </c>
      <c r="G203" s="12" t="n">
        <v>6</v>
      </c>
      <c r="H203" s="12" t="n">
        <v>0</v>
      </c>
      <c r="I203" s="12" t="n">
        <v>1</v>
      </c>
      <c r="J203" s="12" t="s">
        <v>111</v>
      </c>
      <c r="K203" s="12" t="s">
        <v>388</v>
      </c>
      <c r="L203" s="12" t="s">
        <v>389</v>
      </c>
    </row>
    <row r="204" customFormat="false" ht="15" hidden="false" customHeight="false" outlineLevel="0" collapsed="false">
      <c r="A204" s="12" t="s">
        <v>856</v>
      </c>
      <c r="B204" s="12" t="s">
        <v>219</v>
      </c>
      <c r="C204" s="12" t="s">
        <v>215</v>
      </c>
      <c r="D204" s="12" t="s">
        <v>63</v>
      </c>
      <c r="E204" s="12" t="s">
        <v>400</v>
      </c>
      <c r="F204" s="12" t="s">
        <v>401</v>
      </c>
      <c r="G204" s="12" t="n">
        <v>8</v>
      </c>
      <c r="H204" s="12" t="n">
        <v>0</v>
      </c>
      <c r="I204" s="12" t="n">
        <v>2</v>
      </c>
      <c r="J204" s="12" t="s">
        <v>111</v>
      </c>
      <c r="K204" s="12" t="s">
        <v>388</v>
      </c>
      <c r="L204" s="12" t="s">
        <v>389</v>
      </c>
    </row>
    <row r="205" customFormat="false" ht="15" hidden="false" customHeight="false" outlineLevel="0" collapsed="false">
      <c r="A205" s="12" t="s">
        <v>857</v>
      </c>
      <c r="B205" s="12" t="s">
        <v>219</v>
      </c>
      <c r="C205" s="12" t="s">
        <v>215</v>
      </c>
      <c r="D205" s="12" t="s">
        <v>63</v>
      </c>
      <c r="E205" s="12" t="s">
        <v>408</v>
      </c>
      <c r="F205" s="12" t="s">
        <v>409</v>
      </c>
      <c r="G205" s="12" t="n">
        <v>4</v>
      </c>
      <c r="H205" s="12" t="n">
        <v>0</v>
      </c>
      <c r="I205" s="12" t="n">
        <v>1</v>
      </c>
      <c r="J205" s="12" t="s">
        <v>111</v>
      </c>
      <c r="K205" s="12" t="s">
        <v>388</v>
      </c>
      <c r="L205" s="12" t="s">
        <v>389</v>
      </c>
    </row>
    <row r="206" customFormat="false" ht="15" hidden="false" customHeight="false" outlineLevel="0" collapsed="false">
      <c r="A206" s="12" t="s">
        <v>858</v>
      </c>
      <c r="B206" s="12" t="s">
        <v>219</v>
      </c>
      <c r="C206" s="12" t="s">
        <v>215</v>
      </c>
      <c r="D206" s="12" t="s">
        <v>63</v>
      </c>
      <c r="E206" s="12" t="s">
        <v>412</v>
      </c>
      <c r="F206" s="12" t="s">
        <v>413</v>
      </c>
      <c r="G206" s="12" t="n">
        <v>4</v>
      </c>
      <c r="H206" s="12" t="n">
        <v>0</v>
      </c>
      <c r="I206" s="12" t="n">
        <v>1</v>
      </c>
      <c r="J206" s="12" t="s">
        <v>111</v>
      </c>
      <c r="K206" s="12" t="s">
        <v>388</v>
      </c>
      <c r="L206" s="12" t="s">
        <v>389</v>
      </c>
    </row>
    <row r="207" customFormat="false" ht="15" hidden="false" customHeight="false" outlineLevel="0" collapsed="false">
      <c r="A207" s="12" t="s">
        <v>859</v>
      </c>
      <c r="B207" s="12" t="s">
        <v>219</v>
      </c>
      <c r="C207" s="12" t="s">
        <v>215</v>
      </c>
      <c r="D207" s="12" t="s">
        <v>63</v>
      </c>
      <c r="E207" s="12" t="s">
        <v>414</v>
      </c>
      <c r="F207" s="12" t="s">
        <v>415</v>
      </c>
      <c r="G207" s="12" t="n">
        <v>3</v>
      </c>
      <c r="H207" s="12" t="n">
        <v>1</v>
      </c>
      <c r="I207" s="12" t="n">
        <v>2</v>
      </c>
      <c r="J207" s="12" t="s">
        <v>113</v>
      </c>
      <c r="K207" s="12" t="s">
        <v>417</v>
      </c>
      <c r="L207" s="12" t="s">
        <v>418</v>
      </c>
    </row>
    <row r="208" customFormat="false" ht="15" hidden="false" customHeight="false" outlineLevel="0" collapsed="false">
      <c r="A208" s="12" t="s">
        <v>860</v>
      </c>
      <c r="B208" s="12" t="s">
        <v>219</v>
      </c>
      <c r="C208" s="12" t="s">
        <v>215</v>
      </c>
      <c r="D208" s="12" t="s">
        <v>63</v>
      </c>
      <c r="E208" s="12" t="s">
        <v>453</v>
      </c>
      <c r="F208" s="12" t="s">
        <v>454</v>
      </c>
      <c r="G208" s="12" t="n">
        <v>2</v>
      </c>
      <c r="H208" s="12" t="n">
        <v>0</v>
      </c>
      <c r="I208" s="12" t="n">
        <v>1</v>
      </c>
      <c r="J208" s="12" t="s">
        <v>118</v>
      </c>
      <c r="K208" s="12" t="s">
        <v>456</v>
      </c>
      <c r="L208" s="12" t="s">
        <v>389</v>
      </c>
    </row>
    <row r="209" customFormat="false" ht="15" hidden="false" customHeight="false" outlineLevel="0" collapsed="false">
      <c r="A209" s="12" t="s">
        <v>861</v>
      </c>
      <c r="B209" s="12" t="s">
        <v>219</v>
      </c>
      <c r="C209" s="12" t="s">
        <v>215</v>
      </c>
      <c r="D209" s="12" t="s">
        <v>63</v>
      </c>
      <c r="E209" s="12" t="s">
        <v>458</v>
      </c>
      <c r="F209" s="12" t="s">
        <v>459</v>
      </c>
      <c r="G209" s="12" t="n">
        <v>1</v>
      </c>
      <c r="H209" s="12" t="n">
        <v>0</v>
      </c>
      <c r="I209" s="12" t="n">
        <v>1</v>
      </c>
      <c r="J209" s="12" t="s">
        <v>118</v>
      </c>
      <c r="K209" s="12" t="s">
        <v>460</v>
      </c>
      <c r="L209" s="12" t="s">
        <v>389</v>
      </c>
    </row>
    <row r="210" customFormat="false" ht="15" hidden="false" customHeight="false" outlineLevel="0" collapsed="false">
      <c r="A210" s="12" t="s">
        <v>862</v>
      </c>
      <c r="B210" s="12" t="s">
        <v>219</v>
      </c>
      <c r="C210" s="12" t="s">
        <v>215</v>
      </c>
      <c r="D210" s="12" t="s">
        <v>63</v>
      </c>
      <c r="E210" s="12" t="s">
        <v>463</v>
      </c>
      <c r="F210" s="12" t="s">
        <v>464</v>
      </c>
      <c r="G210" s="12" t="n">
        <v>1</v>
      </c>
      <c r="H210" s="12" t="n">
        <v>0</v>
      </c>
      <c r="I210" s="12" t="n">
        <v>1</v>
      </c>
      <c r="J210" s="12" t="s">
        <v>118</v>
      </c>
      <c r="K210" s="12" t="s">
        <v>465</v>
      </c>
      <c r="L210" s="12" t="s">
        <v>418</v>
      </c>
    </row>
    <row r="211" customFormat="false" ht="15" hidden="false" customHeight="false" outlineLevel="0" collapsed="false">
      <c r="A211" s="12" t="s">
        <v>863</v>
      </c>
      <c r="B211" s="12" t="s">
        <v>219</v>
      </c>
      <c r="C211" s="12" t="s">
        <v>215</v>
      </c>
      <c r="D211" s="12" t="s">
        <v>63</v>
      </c>
      <c r="E211" s="12" t="s">
        <v>468</v>
      </c>
      <c r="F211" s="12" t="s">
        <v>469</v>
      </c>
      <c r="G211" s="12" t="n">
        <v>3</v>
      </c>
      <c r="H211" s="12" t="n">
        <v>0</v>
      </c>
      <c r="I211" s="12" t="n">
        <v>1</v>
      </c>
      <c r="J211" s="12" t="s">
        <v>118</v>
      </c>
      <c r="K211" s="12" t="s">
        <v>470</v>
      </c>
      <c r="L211" s="12" t="s">
        <v>418</v>
      </c>
    </row>
    <row r="212" customFormat="false" ht="15" hidden="false" customHeight="false" outlineLevel="0" collapsed="false">
      <c r="A212" s="12" t="s">
        <v>864</v>
      </c>
      <c r="B212" s="12" t="s">
        <v>219</v>
      </c>
      <c r="C212" s="12" t="s">
        <v>215</v>
      </c>
      <c r="D212" s="12" t="s">
        <v>63</v>
      </c>
      <c r="E212" s="12" t="s">
        <v>472</v>
      </c>
      <c r="F212" s="12" t="s">
        <v>473</v>
      </c>
      <c r="G212" s="12" t="n">
        <v>1</v>
      </c>
      <c r="H212" s="12" t="n">
        <v>0</v>
      </c>
      <c r="I212" s="12" t="n">
        <v>1</v>
      </c>
      <c r="J212" s="12" t="s">
        <v>118</v>
      </c>
      <c r="K212" s="12" t="s">
        <v>474</v>
      </c>
      <c r="L212" s="12" t="s">
        <v>418</v>
      </c>
    </row>
    <row r="213" customFormat="false" ht="15" hidden="false" customHeight="false" outlineLevel="0" collapsed="false">
      <c r="A213" s="12" t="s">
        <v>865</v>
      </c>
      <c r="B213" s="12" t="s">
        <v>219</v>
      </c>
      <c r="C213" s="12" t="s">
        <v>215</v>
      </c>
      <c r="D213" s="12" t="s">
        <v>63</v>
      </c>
      <c r="E213" s="12" t="s">
        <v>478</v>
      </c>
      <c r="F213" s="12" t="s">
        <v>479</v>
      </c>
      <c r="G213" s="12" t="n">
        <v>1</v>
      </c>
      <c r="H213" s="12" t="n">
        <v>0</v>
      </c>
      <c r="I213" s="12" t="n">
        <v>1</v>
      </c>
      <c r="J213" s="12" t="s">
        <v>480</v>
      </c>
      <c r="K213" s="12" t="s">
        <v>388</v>
      </c>
      <c r="L213" s="12" t="s">
        <v>389</v>
      </c>
    </row>
    <row r="214" customFormat="false" ht="15" hidden="false" customHeight="false" outlineLevel="0" collapsed="false">
      <c r="A214" s="12" t="s">
        <v>866</v>
      </c>
      <c r="B214" s="12" t="s">
        <v>223</v>
      </c>
      <c r="C214" s="12" t="s">
        <v>215</v>
      </c>
      <c r="D214" s="12" t="s">
        <v>63</v>
      </c>
      <c r="E214" s="12" t="s">
        <v>384</v>
      </c>
      <c r="F214" s="12" t="s">
        <v>385</v>
      </c>
      <c r="G214" s="12" t="n">
        <v>8</v>
      </c>
      <c r="H214" s="12" t="n">
        <v>0</v>
      </c>
      <c r="I214" s="12" t="n">
        <v>2</v>
      </c>
      <c r="J214" s="12" t="s">
        <v>111</v>
      </c>
      <c r="K214" s="12" t="s">
        <v>388</v>
      </c>
      <c r="L214" s="12" t="s">
        <v>389</v>
      </c>
    </row>
    <row r="215" customFormat="false" ht="15" hidden="false" customHeight="false" outlineLevel="0" collapsed="false">
      <c r="A215" s="12" t="s">
        <v>867</v>
      </c>
      <c r="B215" s="12" t="s">
        <v>223</v>
      </c>
      <c r="C215" s="12" t="s">
        <v>215</v>
      </c>
      <c r="D215" s="12" t="s">
        <v>63</v>
      </c>
      <c r="E215" s="12" t="s">
        <v>392</v>
      </c>
      <c r="F215" s="12" t="s">
        <v>393</v>
      </c>
      <c r="G215" s="12" t="n">
        <v>6</v>
      </c>
      <c r="H215" s="12" t="n">
        <v>0</v>
      </c>
      <c r="I215" s="12" t="n">
        <v>1</v>
      </c>
      <c r="J215" s="12" t="s">
        <v>111</v>
      </c>
      <c r="K215" s="12" t="s">
        <v>388</v>
      </c>
      <c r="L215" s="12" t="s">
        <v>389</v>
      </c>
    </row>
    <row r="216" customFormat="false" ht="15" hidden="false" customHeight="false" outlineLevel="0" collapsed="false">
      <c r="A216" s="12" t="s">
        <v>868</v>
      </c>
      <c r="B216" s="12" t="s">
        <v>223</v>
      </c>
      <c r="C216" s="12" t="s">
        <v>215</v>
      </c>
      <c r="D216" s="12" t="s">
        <v>63</v>
      </c>
      <c r="E216" s="12" t="s">
        <v>400</v>
      </c>
      <c r="F216" s="12" t="s">
        <v>401</v>
      </c>
      <c r="G216" s="12" t="n">
        <v>8</v>
      </c>
      <c r="H216" s="12" t="n">
        <v>0</v>
      </c>
      <c r="I216" s="12" t="n">
        <v>2</v>
      </c>
      <c r="J216" s="12" t="s">
        <v>111</v>
      </c>
      <c r="K216" s="12" t="s">
        <v>388</v>
      </c>
      <c r="L216" s="12" t="s">
        <v>389</v>
      </c>
    </row>
    <row r="217" customFormat="false" ht="15" hidden="false" customHeight="false" outlineLevel="0" collapsed="false">
      <c r="A217" s="12" t="s">
        <v>869</v>
      </c>
      <c r="B217" s="12" t="s">
        <v>223</v>
      </c>
      <c r="C217" s="12" t="s">
        <v>215</v>
      </c>
      <c r="D217" s="12" t="s">
        <v>63</v>
      </c>
      <c r="E217" s="12" t="s">
        <v>408</v>
      </c>
      <c r="F217" s="12" t="s">
        <v>409</v>
      </c>
      <c r="G217" s="12" t="n">
        <v>4</v>
      </c>
      <c r="H217" s="12" t="n">
        <v>0</v>
      </c>
      <c r="I217" s="12" t="n">
        <v>1</v>
      </c>
      <c r="J217" s="12" t="s">
        <v>111</v>
      </c>
      <c r="K217" s="12" t="s">
        <v>388</v>
      </c>
      <c r="L217" s="12" t="s">
        <v>389</v>
      </c>
    </row>
    <row r="218" customFormat="false" ht="15" hidden="false" customHeight="false" outlineLevel="0" collapsed="false">
      <c r="A218" s="12" t="s">
        <v>870</v>
      </c>
      <c r="B218" s="12" t="s">
        <v>223</v>
      </c>
      <c r="C218" s="12" t="s">
        <v>215</v>
      </c>
      <c r="D218" s="12" t="s">
        <v>63</v>
      </c>
      <c r="E218" s="12" t="s">
        <v>412</v>
      </c>
      <c r="F218" s="12" t="s">
        <v>413</v>
      </c>
      <c r="G218" s="12" t="n">
        <v>4</v>
      </c>
      <c r="H218" s="12" t="n">
        <v>0</v>
      </c>
      <c r="I218" s="12" t="n">
        <v>1</v>
      </c>
      <c r="J218" s="12" t="s">
        <v>111</v>
      </c>
      <c r="K218" s="12" t="s">
        <v>388</v>
      </c>
      <c r="L218" s="12" t="s">
        <v>389</v>
      </c>
    </row>
    <row r="219" customFormat="false" ht="15" hidden="false" customHeight="false" outlineLevel="0" collapsed="false">
      <c r="A219" s="12" t="s">
        <v>871</v>
      </c>
      <c r="B219" s="12" t="s">
        <v>223</v>
      </c>
      <c r="C219" s="12" t="s">
        <v>215</v>
      </c>
      <c r="D219" s="12" t="s">
        <v>63</v>
      </c>
      <c r="E219" s="12" t="s">
        <v>414</v>
      </c>
      <c r="F219" s="12" t="s">
        <v>415</v>
      </c>
      <c r="G219" s="12" t="n">
        <v>3</v>
      </c>
      <c r="H219" s="12" t="n">
        <v>1</v>
      </c>
      <c r="I219" s="12" t="n">
        <v>2</v>
      </c>
      <c r="J219" s="12" t="s">
        <v>113</v>
      </c>
      <c r="K219" s="12" t="s">
        <v>417</v>
      </c>
      <c r="L219" s="12" t="s">
        <v>418</v>
      </c>
    </row>
    <row r="220" customFormat="false" ht="15" hidden="false" customHeight="false" outlineLevel="0" collapsed="false">
      <c r="A220" s="12" t="s">
        <v>872</v>
      </c>
      <c r="B220" s="12" t="s">
        <v>223</v>
      </c>
      <c r="C220" s="12" t="s">
        <v>215</v>
      </c>
      <c r="D220" s="12" t="s">
        <v>63</v>
      </c>
      <c r="E220" s="12" t="s">
        <v>453</v>
      </c>
      <c r="F220" s="12" t="s">
        <v>454</v>
      </c>
      <c r="G220" s="12" t="n">
        <v>2</v>
      </c>
      <c r="H220" s="12" t="n">
        <v>0</v>
      </c>
      <c r="I220" s="12" t="n">
        <v>1</v>
      </c>
      <c r="J220" s="12" t="s">
        <v>118</v>
      </c>
      <c r="K220" s="12" t="s">
        <v>456</v>
      </c>
      <c r="L220" s="12" t="s">
        <v>389</v>
      </c>
    </row>
    <row r="221" customFormat="false" ht="15" hidden="false" customHeight="false" outlineLevel="0" collapsed="false">
      <c r="A221" s="12" t="s">
        <v>873</v>
      </c>
      <c r="B221" s="12" t="s">
        <v>223</v>
      </c>
      <c r="C221" s="12" t="s">
        <v>215</v>
      </c>
      <c r="D221" s="12" t="s">
        <v>63</v>
      </c>
      <c r="E221" s="12" t="s">
        <v>458</v>
      </c>
      <c r="F221" s="12" t="s">
        <v>459</v>
      </c>
      <c r="G221" s="12" t="n">
        <v>1</v>
      </c>
      <c r="H221" s="12" t="n">
        <v>0</v>
      </c>
      <c r="I221" s="12" t="n">
        <v>1</v>
      </c>
      <c r="J221" s="12" t="s">
        <v>118</v>
      </c>
      <c r="K221" s="12" t="s">
        <v>460</v>
      </c>
      <c r="L221" s="12" t="s">
        <v>389</v>
      </c>
    </row>
    <row r="222" customFormat="false" ht="15" hidden="false" customHeight="false" outlineLevel="0" collapsed="false">
      <c r="A222" s="12" t="s">
        <v>874</v>
      </c>
      <c r="B222" s="12" t="s">
        <v>223</v>
      </c>
      <c r="C222" s="12" t="s">
        <v>215</v>
      </c>
      <c r="D222" s="12" t="s">
        <v>63</v>
      </c>
      <c r="E222" s="12" t="s">
        <v>463</v>
      </c>
      <c r="F222" s="12" t="s">
        <v>464</v>
      </c>
      <c r="G222" s="12" t="n">
        <v>1</v>
      </c>
      <c r="H222" s="12" t="n">
        <v>0</v>
      </c>
      <c r="I222" s="12" t="n">
        <v>1</v>
      </c>
      <c r="J222" s="12" t="s">
        <v>118</v>
      </c>
      <c r="K222" s="12" t="s">
        <v>465</v>
      </c>
      <c r="L222" s="12" t="s">
        <v>418</v>
      </c>
    </row>
    <row r="223" customFormat="false" ht="15" hidden="false" customHeight="false" outlineLevel="0" collapsed="false">
      <c r="A223" s="12" t="s">
        <v>875</v>
      </c>
      <c r="B223" s="12" t="s">
        <v>223</v>
      </c>
      <c r="C223" s="12" t="s">
        <v>215</v>
      </c>
      <c r="D223" s="12" t="s">
        <v>63</v>
      </c>
      <c r="E223" s="12" t="s">
        <v>468</v>
      </c>
      <c r="F223" s="12" t="s">
        <v>469</v>
      </c>
      <c r="G223" s="12" t="n">
        <v>3</v>
      </c>
      <c r="H223" s="12" t="n">
        <v>0</v>
      </c>
      <c r="I223" s="12" t="n">
        <v>1</v>
      </c>
      <c r="J223" s="12" t="s">
        <v>118</v>
      </c>
      <c r="K223" s="12" t="s">
        <v>470</v>
      </c>
      <c r="L223" s="12" t="s">
        <v>418</v>
      </c>
    </row>
    <row r="224" customFormat="false" ht="15" hidden="false" customHeight="false" outlineLevel="0" collapsed="false">
      <c r="A224" s="12" t="s">
        <v>876</v>
      </c>
      <c r="B224" s="12" t="s">
        <v>223</v>
      </c>
      <c r="C224" s="12" t="s">
        <v>215</v>
      </c>
      <c r="D224" s="12" t="s">
        <v>63</v>
      </c>
      <c r="E224" s="12" t="s">
        <v>472</v>
      </c>
      <c r="F224" s="12" t="s">
        <v>473</v>
      </c>
      <c r="G224" s="12" t="n">
        <v>1</v>
      </c>
      <c r="H224" s="12" t="n">
        <v>0</v>
      </c>
      <c r="I224" s="12" t="n">
        <v>1</v>
      </c>
      <c r="J224" s="12" t="s">
        <v>118</v>
      </c>
      <c r="K224" s="12" t="s">
        <v>474</v>
      </c>
      <c r="L224" s="12" t="s">
        <v>418</v>
      </c>
    </row>
    <row r="225" customFormat="false" ht="15" hidden="false" customHeight="false" outlineLevel="0" collapsed="false">
      <c r="A225" s="12" t="s">
        <v>877</v>
      </c>
      <c r="B225" s="12" t="s">
        <v>223</v>
      </c>
      <c r="C225" s="12" t="s">
        <v>215</v>
      </c>
      <c r="D225" s="12" t="s">
        <v>63</v>
      </c>
      <c r="E225" s="12" t="s">
        <v>478</v>
      </c>
      <c r="F225" s="12" t="s">
        <v>479</v>
      </c>
      <c r="G225" s="12" t="n">
        <v>1</v>
      </c>
      <c r="H225" s="12" t="n">
        <v>0</v>
      </c>
      <c r="I225" s="12" t="n">
        <v>1</v>
      </c>
      <c r="J225" s="12" t="s">
        <v>480</v>
      </c>
      <c r="K225" s="12" t="s">
        <v>388</v>
      </c>
      <c r="L225" s="12" t="s">
        <v>389</v>
      </c>
    </row>
    <row r="226" customFormat="false" ht="15" hidden="false" customHeight="false" outlineLevel="0" collapsed="false">
      <c r="A226" s="12" t="s">
        <v>878</v>
      </c>
      <c r="B226" s="12" t="s">
        <v>227</v>
      </c>
      <c r="C226" s="12" t="s">
        <v>228</v>
      </c>
      <c r="D226" s="12" t="s">
        <v>63</v>
      </c>
      <c r="E226" s="12" t="s">
        <v>384</v>
      </c>
      <c r="F226" s="12" t="s">
        <v>385</v>
      </c>
      <c r="G226" s="12" t="n">
        <v>8</v>
      </c>
      <c r="H226" s="12" t="n">
        <v>0</v>
      </c>
      <c r="I226" s="12" t="n">
        <v>2</v>
      </c>
      <c r="J226" s="12" t="s">
        <v>111</v>
      </c>
      <c r="K226" s="12" t="s">
        <v>388</v>
      </c>
      <c r="L226" s="12" t="s">
        <v>389</v>
      </c>
    </row>
    <row r="227" customFormat="false" ht="15" hidden="false" customHeight="false" outlineLevel="0" collapsed="false">
      <c r="A227" s="12" t="s">
        <v>879</v>
      </c>
      <c r="B227" s="12" t="s">
        <v>227</v>
      </c>
      <c r="C227" s="12" t="s">
        <v>228</v>
      </c>
      <c r="D227" s="12" t="s">
        <v>63</v>
      </c>
      <c r="E227" s="12" t="s">
        <v>392</v>
      </c>
      <c r="F227" s="12" t="s">
        <v>393</v>
      </c>
      <c r="G227" s="12" t="n">
        <v>6</v>
      </c>
      <c r="H227" s="12" t="n">
        <v>0</v>
      </c>
      <c r="I227" s="12" t="n">
        <v>1</v>
      </c>
      <c r="J227" s="12" t="s">
        <v>111</v>
      </c>
      <c r="K227" s="12" t="s">
        <v>388</v>
      </c>
      <c r="L227" s="12" t="s">
        <v>389</v>
      </c>
    </row>
    <row r="228" customFormat="false" ht="15" hidden="false" customHeight="false" outlineLevel="0" collapsed="false">
      <c r="A228" s="12" t="s">
        <v>880</v>
      </c>
      <c r="B228" s="12" t="s">
        <v>227</v>
      </c>
      <c r="C228" s="12" t="s">
        <v>228</v>
      </c>
      <c r="D228" s="12" t="s">
        <v>63</v>
      </c>
      <c r="E228" s="12" t="s">
        <v>400</v>
      </c>
      <c r="F228" s="12" t="s">
        <v>401</v>
      </c>
      <c r="G228" s="12" t="n">
        <v>8</v>
      </c>
      <c r="H228" s="12" t="n">
        <v>0</v>
      </c>
      <c r="I228" s="12" t="n">
        <v>2</v>
      </c>
      <c r="J228" s="12" t="s">
        <v>111</v>
      </c>
      <c r="K228" s="12" t="s">
        <v>388</v>
      </c>
      <c r="L228" s="12" t="s">
        <v>389</v>
      </c>
    </row>
    <row r="229" customFormat="false" ht="15" hidden="false" customHeight="false" outlineLevel="0" collapsed="false">
      <c r="A229" s="12" t="s">
        <v>881</v>
      </c>
      <c r="B229" s="12" t="s">
        <v>227</v>
      </c>
      <c r="C229" s="12" t="s">
        <v>228</v>
      </c>
      <c r="D229" s="12" t="s">
        <v>63</v>
      </c>
      <c r="E229" s="12" t="s">
        <v>408</v>
      </c>
      <c r="F229" s="12" t="s">
        <v>409</v>
      </c>
      <c r="G229" s="12" t="n">
        <v>4</v>
      </c>
      <c r="H229" s="12" t="n">
        <v>0</v>
      </c>
      <c r="I229" s="12" t="n">
        <v>1</v>
      </c>
      <c r="J229" s="12" t="s">
        <v>111</v>
      </c>
      <c r="K229" s="12" t="s">
        <v>388</v>
      </c>
      <c r="L229" s="12" t="s">
        <v>389</v>
      </c>
    </row>
    <row r="230" customFormat="false" ht="15" hidden="false" customHeight="false" outlineLevel="0" collapsed="false">
      <c r="A230" s="12" t="s">
        <v>882</v>
      </c>
      <c r="B230" s="12" t="s">
        <v>227</v>
      </c>
      <c r="C230" s="12" t="s">
        <v>228</v>
      </c>
      <c r="D230" s="12" t="s">
        <v>63</v>
      </c>
      <c r="E230" s="12" t="s">
        <v>412</v>
      </c>
      <c r="F230" s="12" t="s">
        <v>413</v>
      </c>
      <c r="G230" s="12" t="n">
        <v>4</v>
      </c>
      <c r="H230" s="12" t="n">
        <v>0</v>
      </c>
      <c r="I230" s="12" t="n">
        <v>1</v>
      </c>
      <c r="J230" s="12" t="s">
        <v>111</v>
      </c>
      <c r="K230" s="12" t="s">
        <v>388</v>
      </c>
      <c r="L230" s="12" t="s">
        <v>389</v>
      </c>
    </row>
    <row r="231" customFormat="false" ht="15" hidden="false" customHeight="false" outlineLevel="0" collapsed="false">
      <c r="A231" s="12" t="s">
        <v>883</v>
      </c>
      <c r="B231" s="12" t="s">
        <v>227</v>
      </c>
      <c r="C231" s="12" t="s">
        <v>228</v>
      </c>
      <c r="D231" s="12" t="s">
        <v>63</v>
      </c>
      <c r="E231" s="12" t="s">
        <v>414</v>
      </c>
      <c r="F231" s="12" t="s">
        <v>415</v>
      </c>
      <c r="G231" s="12" t="n">
        <v>3</v>
      </c>
      <c r="H231" s="12" t="n">
        <v>1</v>
      </c>
      <c r="I231" s="12" t="n">
        <v>2</v>
      </c>
      <c r="J231" s="12" t="s">
        <v>113</v>
      </c>
      <c r="K231" s="12" t="s">
        <v>417</v>
      </c>
      <c r="L231" s="12" t="s">
        <v>418</v>
      </c>
    </row>
    <row r="232" customFormat="false" ht="15" hidden="false" customHeight="false" outlineLevel="0" collapsed="false">
      <c r="A232" s="12" t="s">
        <v>884</v>
      </c>
      <c r="B232" s="12" t="s">
        <v>227</v>
      </c>
      <c r="C232" s="12" t="s">
        <v>228</v>
      </c>
      <c r="D232" s="12" t="s">
        <v>63</v>
      </c>
      <c r="E232" s="12" t="s">
        <v>453</v>
      </c>
      <c r="F232" s="12" t="s">
        <v>454</v>
      </c>
      <c r="G232" s="12" t="n">
        <v>2</v>
      </c>
      <c r="H232" s="12" t="n">
        <v>0</v>
      </c>
      <c r="I232" s="12" t="n">
        <v>1</v>
      </c>
      <c r="J232" s="12" t="s">
        <v>118</v>
      </c>
      <c r="K232" s="12" t="s">
        <v>456</v>
      </c>
      <c r="L232" s="12" t="s">
        <v>389</v>
      </c>
    </row>
    <row r="233" customFormat="false" ht="15" hidden="false" customHeight="false" outlineLevel="0" collapsed="false">
      <c r="A233" s="12" t="s">
        <v>885</v>
      </c>
      <c r="B233" s="12" t="s">
        <v>227</v>
      </c>
      <c r="C233" s="12" t="s">
        <v>228</v>
      </c>
      <c r="D233" s="12" t="s">
        <v>63</v>
      </c>
      <c r="E233" s="12" t="s">
        <v>458</v>
      </c>
      <c r="F233" s="12" t="s">
        <v>459</v>
      </c>
      <c r="G233" s="12" t="n">
        <v>1</v>
      </c>
      <c r="H233" s="12" t="n">
        <v>0</v>
      </c>
      <c r="I233" s="12" t="n">
        <v>1</v>
      </c>
      <c r="J233" s="12" t="s">
        <v>118</v>
      </c>
      <c r="K233" s="12" t="s">
        <v>460</v>
      </c>
      <c r="L233" s="12" t="s">
        <v>389</v>
      </c>
    </row>
    <row r="234" customFormat="false" ht="15" hidden="false" customHeight="false" outlineLevel="0" collapsed="false">
      <c r="A234" s="12" t="s">
        <v>886</v>
      </c>
      <c r="B234" s="12" t="s">
        <v>227</v>
      </c>
      <c r="C234" s="12" t="s">
        <v>228</v>
      </c>
      <c r="D234" s="12" t="s">
        <v>63</v>
      </c>
      <c r="E234" s="12" t="s">
        <v>463</v>
      </c>
      <c r="F234" s="12" t="s">
        <v>464</v>
      </c>
      <c r="G234" s="12" t="n">
        <v>1</v>
      </c>
      <c r="H234" s="12" t="n">
        <v>0</v>
      </c>
      <c r="I234" s="12" t="n">
        <v>1</v>
      </c>
      <c r="J234" s="12" t="s">
        <v>118</v>
      </c>
      <c r="K234" s="12" t="s">
        <v>465</v>
      </c>
      <c r="L234" s="12" t="s">
        <v>418</v>
      </c>
    </row>
    <row r="235" customFormat="false" ht="15" hidden="false" customHeight="false" outlineLevel="0" collapsed="false">
      <c r="A235" s="12" t="s">
        <v>887</v>
      </c>
      <c r="B235" s="12" t="s">
        <v>227</v>
      </c>
      <c r="C235" s="12" t="s">
        <v>228</v>
      </c>
      <c r="D235" s="12" t="s">
        <v>63</v>
      </c>
      <c r="E235" s="12" t="s">
        <v>468</v>
      </c>
      <c r="F235" s="12" t="s">
        <v>469</v>
      </c>
      <c r="G235" s="12" t="n">
        <v>3</v>
      </c>
      <c r="H235" s="12" t="n">
        <v>0</v>
      </c>
      <c r="I235" s="12" t="n">
        <v>1</v>
      </c>
      <c r="J235" s="12" t="s">
        <v>118</v>
      </c>
      <c r="K235" s="12" t="s">
        <v>470</v>
      </c>
      <c r="L235" s="12" t="s">
        <v>418</v>
      </c>
    </row>
    <row r="236" customFormat="false" ht="15" hidden="false" customHeight="false" outlineLevel="0" collapsed="false">
      <c r="A236" s="12" t="s">
        <v>888</v>
      </c>
      <c r="B236" s="12" t="s">
        <v>227</v>
      </c>
      <c r="C236" s="12" t="s">
        <v>228</v>
      </c>
      <c r="D236" s="12" t="s">
        <v>63</v>
      </c>
      <c r="E236" s="12" t="s">
        <v>472</v>
      </c>
      <c r="F236" s="12" t="s">
        <v>473</v>
      </c>
      <c r="G236" s="12" t="n">
        <v>1</v>
      </c>
      <c r="H236" s="12" t="n">
        <v>0</v>
      </c>
      <c r="I236" s="12" t="n">
        <v>1</v>
      </c>
      <c r="J236" s="12" t="s">
        <v>118</v>
      </c>
      <c r="K236" s="12" t="s">
        <v>474</v>
      </c>
      <c r="L236" s="12" t="s">
        <v>418</v>
      </c>
    </row>
    <row r="237" customFormat="false" ht="15" hidden="false" customHeight="false" outlineLevel="0" collapsed="false">
      <c r="A237" s="12" t="s">
        <v>889</v>
      </c>
      <c r="B237" s="12" t="s">
        <v>227</v>
      </c>
      <c r="C237" s="12" t="s">
        <v>228</v>
      </c>
      <c r="D237" s="12" t="s">
        <v>63</v>
      </c>
      <c r="E237" s="12" t="s">
        <v>478</v>
      </c>
      <c r="F237" s="12" t="s">
        <v>479</v>
      </c>
      <c r="G237" s="12" t="n">
        <v>1</v>
      </c>
      <c r="H237" s="12" t="n">
        <v>0</v>
      </c>
      <c r="I237" s="12" t="n">
        <v>1</v>
      </c>
      <c r="J237" s="12" t="s">
        <v>480</v>
      </c>
      <c r="K237" s="12" t="s">
        <v>388</v>
      </c>
      <c r="L237" s="12" t="s">
        <v>389</v>
      </c>
    </row>
    <row r="238" customFormat="false" ht="15" hidden="false" customHeight="false" outlineLevel="0" collapsed="false">
      <c r="A238" s="12" t="s">
        <v>890</v>
      </c>
      <c r="B238" s="12" t="s">
        <v>232</v>
      </c>
      <c r="C238" s="12" t="s">
        <v>228</v>
      </c>
      <c r="D238" s="12" t="s">
        <v>63</v>
      </c>
      <c r="E238" s="12" t="s">
        <v>384</v>
      </c>
      <c r="F238" s="12" t="s">
        <v>385</v>
      </c>
      <c r="G238" s="12" t="n">
        <v>8</v>
      </c>
      <c r="H238" s="12" t="n">
        <v>0</v>
      </c>
      <c r="I238" s="12" t="n">
        <v>2</v>
      </c>
      <c r="J238" s="12" t="s">
        <v>111</v>
      </c>
      <c r="K238" s="12" t="s">
        <v>388</v>
      </c>
      <c r="L238" s="12" t="s">
        <v>389</v>
      </c>
    </row>
    <row r="239" customFormat="false" ht="15" hidden="false" customHeight="false" outlineLevel="0" collapsed="false">
      <c r="A239" s="12" t="s">
        <v>891</v>
      </c>
      <c r="B239" s="12" t="s">
        <v>232</v>
      </c>
      <c r="C239" s="12" t="s">
        <v>228</v>
      </c>
      <c r="D239" s="12" t="s">
        <v>63</v>
      </c>
      <c r="E239" s="12" t="s">
        <v>392</v>
      </c>
      <c r="F239" s="12" t="s">
        <v>393</v>
      </c>
      <c r="G239" s="12" t="n">
        <v>6</v>
      </c>
      <c r="H239" s="12" t="n">
        <v>0</v>
      </c>
      <c r="I239" s="12" t="n">
        <v>1</v>
      </c>
      <c r="J239" s="12" t="s">
        <v>111</v>
      </c>
      <c r="K239" s="12" t="s">
        <v>388</v>
      </c>
      <c r="L239" s="12" t="s">
        <v>389</v>
      </c>
    </row>
    <row r="240" customFormat="false" ht="15" hidden="false" customHeight="false" outlineLevel="0" collapsed="false">
      <c r="A240" s="12" t="s">
        <v>892</v>
      </c>
      <c r="B240" s="12" t="s">
        <v>232</v>
      </c>
      <c r="C240" s="12" t="s">
        <v>228</v>
      </c>
      <c r="D240" s="12" t="s">
        <v>63</v>
      </c>
      <c r="E240" s="12" t="s">
        <v>400</v>
      </c>
      <c r="F240" s="12" t="s">
        <v>401</v>
      </c>
      <c r="G240" s="12" t="n">
        <v>8</v>
      </c>
      <c r="H240" s="12" t="n">
        <v>0</v>
      </c>
      <c r="I240" s="12" t="n">
        <v>2</v>
      </c>
      <c r="J240" s="12" t="s">
        <v>111</v>
      </c>
      <c r="K240" s="12" t="s">
        <v>388</v>
      </c>
      <c r="L240" s="12" t="s">
        <v>389</v>
      </c>
    </row>
    <row r="241" customFormat="false" ht="15" hidden="false" customHeight="false" outlineLevel="0" collapsed="false">
      <c r="A241" s="12" t="s">
        <v>893</v>
      </c>
      <c r="B241" s="12" t="s">
        <v>232</v>
      </c>
      <c r="C241" s="12" t="s">
        <v>228</v>
      </c>
      <c r="D241" s="12" t="s">
        <v>63</v>
      </c>
      <c r="E241" s="12" t="s">
        <v>408</v>
      </c>
      <c r="F241" s="12" t="s">
        <v>409</v>
      </c>
      <c r="G241" s="12" t="n">
        <v>4</v>
      </c>
      <c r="H241" s="12" t="n">
        <v>0</v>
      </c>
      <c r="I241" s="12" t="n">
        <v>1</v>
      </c>
      <c r="J241" s="12" t="s">
        <v>111</v>
      </c>
      <c r="K241" s="12" t="s">
        <v>388</v>
      </c>
      <c r="L241" s="12" t="s">
        <v>389</v>
      </c>
    </row>
    <row r="242" customFormat="false" ht="15" hidden="false" customHeight="false" outlineLevel="0" collapsed="false">
      <c r="A242" s="12" t="s">
        <v>894</v>
      </c>
      <c r="B242" s="12" t="s">
        <v>232</v>
      </c>
      <c r="C242" s="12" t="s">
        <v>228</v>
      </c>
      <c r="D242" s="12" t="s">
        <v>63</v>
      </c>
      <c r="E242" s="12" t="s">
        <v>412</v>
      </c>
      <c r="F242" s="12" t="s">
        <v>413</v>
      </c>
      <c r="G242" s="12" t="n">
        <v>4</v>
      </c>
      <c r="H242" s="12" t="n">
        <v>0</v>
      </c>
      <c r="I242" s="12" t="n">
        <v>1</v>
      </c>
      <c r="J242" s="12" t="s">
        <v>111</v>
      </c>
      <c r="K242" s="12" t="s">
        <v>388</v>
      </c>
      <c r="L242" s="12" t="s">
        <v>389</v>
      </c>
    </row>
    <row r="243" customFormat="false" ht="15" hidden="false" customHeight="false" outlineLevel="0" collapsed="false">
      <c r="A243" s="12" t="s">
        <v>895</v>
      </c>
      <c r="B243" s="12" t="s">
        <v>232</v>
      </c>
      <c r="C243" s="12" t="s">
        <v>228</v>
      </c>
      <c r="D243" s="12" t="s">
        <v>63</v>
      </c>
      <c r="E243" s="12" t="s">
        <v>414</v>
      </c>
      <c r="F243" s="12" t="s">
        <v>415</v>
      </c>
      <c r="G243" s="12" t="n">
        <v>3</v>
      </c>
      <c r="H243" s="12" t="n">
        <v>1</v>
      </c>
      <c r="I243" s="12" t="n">
        <v>2</v>
      </c>
      <c r="J243" s="12" t="s">
        <v>113</v>
      </c>
      <c r="K243" s="12" t="s">
        <v>417</v>
      </c>
      <c r="L243" s="12" t="s">
        <v>418</v>
      </c>
    </row>
    <row r="244" customFormat="false" ht="15" hidden="false" customHeight="false" outlineLevel="0" collapsed="false">
      <c r="A244" s="12" t="s">
        <v>896</v>
      </c>
      <c r="B244" s="12" t="s">
        <v>232</v>
      </c>
      <c r="C244" s="12" t="s">
        <v>228</v>
      </c>
      <c r="D244" s="12" t="s">
        <v>63</v>
      </c>
      <c r="E244" s="12" t="s">
        <v>453</v>
      </c>
      <c r="F244" s="12" t="s">
        <v>454</v>
      </c>
      <c r="G244" s="12" t="n">
        <v>2</v>
      </c>
      <c r="H244" s="12" t="n">
        <v>0</v>
      </c>
      <c r="I244" s="12" t="n">
        <v>1</v>
      </c>
      <c r="J244" s="12" t="s">
        <v>118</v>
      </c>
      <c r="K244" s="12" t="s">
        <v>456</v>
      </c>
      <c r="L244" s="12" t="s">
        <v>389</v>
      </c>
    </row>
    <row r="245" customFormat="false" ht="15" hidden="false" customHeight="false" outlineLevel="0" collapsed="false">
      <c r="A245" s="12" t="s">
        <v>897</v>
      </c>
      <c r="B245" s="12" t="s">
        <v>232</v>
      </c>
      <c r="C245" s="12" t="s">
        <v>228</v>
      </c>
      <c r="D245" s="12" t="s">
        <v>63</v>
      </c>
      <c r="E245" s="12" t="s">
        <v>458</v>
      </c>
      <c r="F245" s="12" t="s">
        <v>459</v>
      </c>
      <c r="G245" s="12" t="n">
        <v>1</v>
      </c>
      <c r="H245" s="12" t="n">
        <v>0</v>
      </c>
      <c r="I245" s="12" t="n">
        <v>1</v>
      </c>
      <c r="J245" s="12" t="s">
        <v>118</v>
      </c>
      <c r="K245" s="12" t="s">
        <v>460</v>
      </c>
      <c r="L245" s="12" t="s">
        <v>389</v>
      </c>
    </row>
    <row r="246" customFormat="false" ht="15" hidden="false" customHeight="false" outlineLevel="0" collapsed="false">
      <c r="A246" s="12" t="s">
        <v>898</v>
      </c>
      <c r="B246" s="12" t="s">
        <v>232</v>
      </c>
      <c r="C246" s="12" t="s">
        <v>228</v>
      </c>
      <c r="D246" s="12" t="s">
        <v>63</v>
      </c>
      <c r="E246" s="12" t="s">
        <v>463</v>
      </c>
      <c r="F246" s="12" t="s">
        <v>464</v>
      </c>
      <c r="G246" s="12" t="n">
        <v>1</v>
      </c>
      <c r="H246" s="12" t="n">
        <v>0</v>
      </c>
      <c r="I246" s="12" t="n">
        <v>1</v>
      </c>
      <c r="J246" s="12" t="s">
        <v>118</v>
      </c>
      <c r="K246" s="12" t="s">
        <v>465</v>
      </c>
      <c r="L246" s="12" t="s">
        <v>418</v>
      </c>
    </row>
    <row r="247" customFormat="false" ht="15" hidden="false" customHeight="false" outlineLevel="0" collapsed="false">
      <c r="A247" s="12" t="s">
        <v>899</v>
      </c>
      <c r="B247" s="12" t="s">
        <v>232</v>
      </c>
      <c r="C247" s="12" t="s">
        <v>228</v>
      </c>
      <c r="D247" s="12" t="s">
        <v>63</v>
      </c>
      <c r="E247" s="12" t="s">
        <v>468</v>
      </c>
      <c r="F247" s="12" t="s">
        <v>469</v>
      </c>
      <c r="G247" s="12" t="n">
        <v>3</v>
      </c>
      <c r="H247" s="12" t="n">
        <v>0</v>
      </c>
      <c r="I247" s="12" t="n">
        <v>1</v>
      </c>
      <c r="J247" s="12" t="s">
        <v>118</v>
      </c>
      <c r="K247" s="12" t="s">
        <v>470</v>
      </c>
      <c r="L247" s="12" t="s">
        <v>418</v>
      </c>
    </row>
    <row r="248" customFormat="false" ht="15" hidden="false" customHeight="false" outlineLevel="0" collapsed="false">
      <c r="A248" s="12" t="s">
        <v>900</v>
      </c>
      <c r="B248" s="12" t="s">
        <v>232</v>
      </c>
      <c r="C248" s="12" t="s">
        <v>228</v>
      </c>
      <c r="D248" s="12" t="s">
        <v>63</v>
      </c>
      <c r="E248" s="12" t="s">
        <v>472</v>
      </c>
      <c r="F248" s="12" t="s">
        <v>473</v>
      </c>
      <c r="G248" s="12" t="n">
        <v>1</v>
      </c>
      <c r="H248" s="12" t="n">
        <v>0</v>
      </c>
      <c r="I248" s="12" t="n">
        <v>1</v>
      </c>
      <c r="J248" s="12" t="s">
        <v>118</v>
      </c>
      <c r="K248" s="12" t="s">
        <v>474</v>
      </c>
      <c r="L248" s="12" t="s">
        <v>418</v>
      </c>
    </row>
    <row r="249" customFormat="false" ht="15" hidden="false" customHeight="false" outlineLevel="0" collapsed="false">
      <c r="A249" s="12" t="s">
        <v>901</v>
      </c>
      <c r="B249" s="12" t="s">
        <v>232</v>
      </c>
      <c r="C249" s="12" t="s">
        <v>228</v>
      </c>
      <c r="D249" s="12" t="s">
        <v>63</v>
      </c>
      <c r="E249" s="12" t="s">
        <v>478</v>
      </c>
      <c r="F249" s="12" t="s">
        <v>479</v>
      </c>
      <c r="G249" s="12" t="n">
        <v>1</v>
      </c>
      <c r="H249" s="12" t="n">
        <v>0</v>
      </c>
      <c r="I249" s="12" t="n">
        <v>1</v>
      </c>
      <c r="J249" s="12" t="s">
        <v>480</v>
      </c>
      <c r="K249" s="12" t="s">
        <v>388</v>
      </c>
      <c r="L249" s="12" t="s">
        <v>389</v>
      </c>
    </row>
    <row r="250" customFormat="false" ht="15" hidden="false" customHeight="false" outlineLevel="0" collapsed="false">
      <c r="A250" s="12" t="s">
        <v>902</v>
      </c>
      <c r="B250" s="12" t="s">
        <v>236</v>
      </c>
      <c r="C250" s="12" t="s">
        <v>228</v>
      </c>
      <c r="D250" s="12" t="s">
        <v>63</v>
      </c>
      <c r="E250" s="12" t="s">
        <v>384</v>
      </c>
      <c r="F250" s="12" t="s">
        <v>385</v>
      </c>
      <c r="G250" s="12" t="n">
        <v>8</v>
      </c>
      <c r="H250" s="12" t="n">
        <v>0</v>
      </c>
      <c r="I250" s="12" t="n">
        <v>2</v>
      </c>
      <c r="J250" s="12" t="s">
        <v>111</v>
      </c>
      <c r="K250" s="12" t="s">
        <v>388</v>
      </c>
      <c r="L250" s="12" t="s">
        <v>389</v>
      </c>
    </row>
    <row r="251" customFormat="false" ht="15" hidden="false" customHeight="false" outlineLevel="0" collapsed="false">
      <c r="A251" s="12" t="s">
        <v>903</v>
      </c>
      <c r="B251" s="12" t="s">
        <v>236</v>
      </c>
      <c r="C251" s="12" t="s">
        <v>228</v>
      </c>
      <c r="D251" s="12" t="s">
        <v>63</v>
      </c>
      <c r="E251" s="12" t="s">
        <v>392</v>
      </c>
      <c r="F251" s="12" t="s">
        <v>393</v>
      </c>
      <c r="G251" s="12" t="n">
        <v>6</v>
      </c>
      <c r="H251" s="12" t="n">
        <v>0</v>
      </c>
      <c r="I251" s="12" t="n">
        <v>1</v>
      </c>
      <c r="J251" s="12" t="s">
        <v>111</v>
      </c>
      <c r="K251" s="12" t="s">
        <v>388</v>
      </c>
      <c r="L251" s="12" t="s">
        <v>389</v>
      </c>
    </row>
    <row r="252" customFormat="false" ht="15" hidden="false" customHeight="false" outlineLevel="0" collapsed="false">
      <c r="A252" s="12" t="s">
        <v>904</v>
      </c>
      <c r="B252" s="12" t="s">
        <v>236</v>
      </c>
      <c r="C252" s="12" t="s">
        <v>228</v>
      </c>
      <c r="D252" s="12" t="s">
        <v>63</v>
      </c>
      <c r="E252" s="12" t="s">
        <v>400</v>
      </c>
      <c r="F252" s="12" t="s">
        <v>401</v>
      </c>
      <c r="G252" s="12" t="n">
        <v>8</v>
      </c>
      <c r="H252" s="12" t="n">
        <v>0</v>
      </c>
      <c r="I252" s="12" t="n">
        <v>2</v>
      </c>
      <c r="J252" s="12" t="s">
        <v>111</v>
      </c>
      <c r="K252" s="12" t="s">
        <v>388</v>
      </c>
      <c r="L252" s="12" t="s">
        <v>389</v>
      </c>
    </row>
    <row r="253" customFormat="false" ht="15" hidden="false" customHeight="false" outlineLevel="0" collapsed="false">
      <c r="A253" s="12" t="s">
        <v>905</v>
      </c>
      <c r="B253" s="12" t="s">
        <v>236</v>
      </c>
      <c r="C253" s="12" t="s">
        <v>228</v>
      </c>
      <c r="D253" s="12" t="s">
        <v>63</v>
      </c>
      <c r="E253" s="12" t="s">
        <v>408</v>
      </c>
      <c r="F253" s="12" t="s">
        <v>409</v>
      </c>
      <c r="G253" s="12" t="n">
        <v>4</v>
      </c>
      <c r="H253" s="12" t="n">
        <v>0</v>
      </c>
      <c r="I253" s="12" t="n">
        <v>1</v>
      </c>
      <c r="J253" s="12" t="s">
        <v>111</v>
      </c>
      <c r="K253" s="12" t="s">
        <v>388</v>
      </c>
      <c r="L253" s="12" t="s">
        <v>389</v>
      </c>
    </row>
    <row r="254" customFormat="false" ht="15" hidden="false" customHeight="false" outlineLevel="0" collapsed="false">
      <c r="A254" s="12" t="s">
        <v>906</v>
      </c>
      <c r="B254" s="12" t="s">
        <v>236</v>
      </c>
      <c r="C254" s="12" t="s">
        <v>228</v>
      </c>
      <c r="D254" s="12" t="s">
        <v>63</v>
      </c>
      <c r="E254" s="12" t="s">
        <v>412</v>
      </c>
      <c r="F254" s="12" t="s">
        <v>413</v>
      </c>
      <c r="G254" s="12" t="n">
        <v>4</v>
      </c>
      <c r="H254" s="12" t="n">
        <v>0</v>
      </c>
      <c r="I254" s="12" t="n">
        <v>1</v>
      </c>
      <c r="J254" s="12" t="s">
        <v>111</v>
      </c>
      <c r="K254" s="12" t="s">
        <v>388</v>
      </c>
      <c r="L254" s="12" t="s">
        <v>389</v>
      </c>
    </row>
    <row r="255" customFormat="false" ht="15" hidden="false" customHeight="false" outlineLevel="0" collapsed="false">
      <c r="A255" s="12" t="s">
        <v>907</v>
      </c>
      <c r="B255" s="12" t="s">
        <v>236</v>
      </c>
      <c r="C255" s="12" t="s">
        <v>228</v>
      </c>
      <c r="D255" s="12" t="s">
        <v>63</v>
      </c>
      <c r="E255" s="12" t="s">
        <v>414</v>
      </c>
      <c r="F255" s="12" t="s">
        <v>415</v>
      </c>
      <c r="G255" s="12" t="n">
        <v>3</v>
      </c>
      <c r="H255" s="12" t="n">
        <v>1</v>
      </c>
      <c r="I255" s="12" t="n">
        <v>2</v>
      </c>
      <c r="J255" s="12" t="s">
        <v>113</v>
      </c>
      <c r="K255" s="12" t="s">
        <v>417</v>
      </c>
      <c r="L255" s="12" t="s">
        <v>418</v>
      </c>
    </row>
    <row r="256" customFormat="false" ht="15" hidden="false" customHeight="false" outlineLevel="0" collapsed="false">
      <c r="A256" s="12" t="s">
        <v>908</v>
      </c>
      <c r="B256" s="12" t="s">
        <v>236</v>
      </c>
      <c r="C256" s="12" t="s">
        <v>228</v>
      </c>
      <c r="D256" s="12" t="s">
        <v>63</v>
      </c>
      <c r="E256" s="12" t="s">
        <v>453</v>
      </c>
      <c r="F256" s="12" t="s">
        <v>454</v>
      </c>
      <c r="G256" s="12" t="n">
        <v>2</v>
      </c>
      <c r="H256" s="12" t="n">
        <v>0</v>
      </c>
      <c r="I256" s="12" t="n">
        <v>1</v>
      </c>
      <c r="J256" s="12" t="s">
        <v>118</v>
      </c>
      <c r="K256" s="12" t="s">
        <v>456</v>
      </c>
      <c r="L256" s="12" t="s">
        <v>389</v>
      </c>
    </row>
    <row r="257" customFormat="false" ht="15" hidden="false" customHeight="false" outlineLevel="0" collapsed="false">
      <c r="A257" s="12" t="s">
        <v>909</v>
      </c>
      <c r="B257" s="12" t="s">
        <v>236</v>
      </c>
      <c r="C257" s="12" t="s">
        <v>228</v>
      </c>
      <c r="D257" s="12" t="s">
        <v>63</v>
      </c>
      <c r="E257" s="12" t="s">
        <v>458</v>
      </c>
      <c r="F257" s="12" t="s">
        <v>459</v>
      </c>
      <c r="G257" s="12" t="n">
        <v>1</v>
      </c>
      <c r="H257" s="12" t="n">
        <v>0</v>
      </c>
      <c r="I257" s="12" t="n">
        <v>1</v>
      </c>
      <c r="J257" s="12" t="s">
        <v>118</v>
      </c>
      <c r="K257" s="12" t="s">
        <v>460</v>
      </c>
      <c r="L257" s="12" t="s">
        <v>389</v>
      </c>
    </row>
    <row r="258" customFormat="false" ht="15" hidden="false" customHeight="false" outlineLevel="0" collapsed="false">
      <c r="A258" s="12" t="s">
        <v>910</v>
      </c>
      <c r="B258" s="12" t="s">
        <v>236</v>
      </c>
      <c r="C258" s="12" t="s">
        <v>228</v>
      </c>
      <c r="D258" s="12" t="s">
        <v>63</v>
      </c>
      <c r="E258" s="12" t="s">
        <v>463</v>
      </c>
      <c r="F258" s="12" t="s">
        <v>464</v>
      </c>
      <c r="G258" s="12" t="n">
        <v>1</v>
      </c>
      <c r="H258" s="12" t="n">
        <v>0</v>
      </c>
      <c r="I258" s="12" t="n">
        <v>1</v>
      </c>
      <c r="J258" s="12" t="s">
        <v>118</v>
      </c>
      <c r="K258" s="12" t="s">
        <v>465</v>
      </c>
      <c r="L258" s="12" t="s">
        <v>418</v>
      </c>
    </row>
    <row r="259" customFormat="false" ht="15" hidden="false" customHeight="false" outlineLevel="0" collapsed="false">
      <c r="A259" s="12" t="s">
        <v>911</v>
      </c>
      <c r="B259" s="12" t="s">
        <v>236</v>
      </c>
      <c r="C259" s="12" t="s">
        <v>228</v>
      </c>
      <c r="D259" s="12" t="s">
        <v>63</v>
      </c>
      <c r="E259" s="12" t="s">
        <v>468</v>
      </c>
      <c r="F259" s="12" t="s">
        <v>469</v>
      </c>
      <c r="G259" s="12" t="n">
        <v>3</v>
      </c>
      <c r="H259" s="12" t="n">
        <v>0</v>
      </c>
      <c r="I259" s="12" t="n">
        <v>1</v>
      </c>
      <c r="J259" s="12" t="s">
        <v>118</v>
      </c>
      <c r="K259" s="12" t="s">
        <v>470</v>
      </c>
      <c r="L259" s="12" t="s">
        <v>418</v>
      </c>
    </row>
    <row r="260" customFormat="false" ht="15" hidden="false" customHeight="false" outlineLevel="0" collapsed="false">
      <c r="A260" s="12" t="s">
        <v>912</v>
      </c>
      <c r="B260" s="12" t="s">
        <v>236</v>
      </c>
      <c r="C260" s="12" t="s">
        <v>228</v>
      </c>
      <c r="D260" s="12" t="s">
        <v>63</v>
      </c>
      <c r="E260" s="12" t="s">
        <v>472</v>
      </c>
      <c r="F260" s="12" t="s">
        <v>473</v>
      </c>
      <c r="G260" s="12" t="n">
        <v>1</v>
      </c>
      <c r="H260" s="12" t="n">
        <v>0</v>
      </c>
      <c r="I260" s="12" t="n">
        <v>1</v>
      </c>
      <c r="J260" s="12" t="s">
        <v>118</v>
      </c>
      <c r="K260" s="12" t="s">
        <v>474</v>
      </c>
      <c r="L260" s="12" t="s">
        <v>418</v>
      </c>
    </row>
    <row r="261" customFormat="false" ht="15" hidden="false" customHeight="false" outlineLevel="0" collapsed="false">
      <c r="A261" s="12" t="s">
        <v>913</v>
      </c>
      <c r="B261" s="12" t="s">
        <v>236</v>
      </c>
      <c r="C261" s="12" t="s">
        <v>228</v>
      </c>
      <c r="D261" s="12" t="s">
        <v>63</v>
      </c>
      <c r="E261" s="12" t="s">
        <v>478</v>
      </c>
      <c r="F261" s="12" t="s">
        <v>479</v>
      </c>
      <c r="G261" s="12" t="n">
        <v>1</v>
      </c>
      <c r="H261" s="12" t="n">
        <v>0</v>
      </c>
      <c r="I261" s="12" t="n">
        <v>1</v>
      </c>
      <c r="J261" s="12" t="s">
        <v>480</v>
      </c>
      <c r="K261" s="12" t="s">
        <v>388</v>
      </c>
      <c r="L261" s="12" t="s">
        <v>389</v>
      </c>
    </row>
    <row r="262" customFormat="false" ht="15" hidden="false" customHeight="false" outlineLevel="0" collapsed="false">
      <c r="A262" s="12" t="s">
        <v>914</v>
      </c>
      <c r="B262" s="12" t="s">
        <v>240</v>
      </c>
      <c r="C262" s="12" t="s">
        <v>228</v>
      </c>
      <c r="D262" s="12" t="s">
        <v>63</v>
      </c>
      <c r="E262" s="12" t="s">
        <v>384</v>
      </c>
      <c r="F262" s="12" t="s">
        <v>385</v>
      </c>
      <c r="G262" s="12" t="n">
        <v>8</v>
      </c>
      <c r="H262" s="12" t="n">
        <v>0</v>
      </c>
      <c r="I262" s="12" t="n">
        <v>2</v>
      </c>
      <c r="J262" s="12" t="s">
        <v>111</v>
      </c>
      <c r="K262" s="12" t="s">
        <v>388</v>
      </c>
      <c r="L262" s="12" t="s">
        <v>389</v>
      </c>
    </row>
    <row r="263" customFormat="false" ht="15" hidden="false" customHeight="false" outlineLevel="0" collapsed="false">
      <c r="A263" s="12" t="s">
        <v>915</v>
      </c>
      <c r="B263" s="12" t="s">
        <v>240</v>
      </c>
      <c r="C263" s="12" t="s">
        <v>228</v>
      </c>
      <c r="D263" s="12" t="s">
        <v>63</v>
      </c>
      <c r="E263" s="12" t="s">
        <v>392</v>
      </c>
      <c r="F263" s="12" t="s">
        <v>393</v>
      </c>
      <c r="G263" s="12" t="n">
        <v>6</v>
      </c>
      <c r="H263" s="12" t="n">
        <v>0</v>
      </c>
      <c r="I263" s="12" t="n">
        <v>1</v>
      </c>
      <c r="J263" s="12" t="s">
        <v>111</v>
      </c>
      <c r="K263" s="12" t="s">
        <v>388</v>
      </c>
      <c r="L263" s="12" t="s">
        <v>389</v>
      </c>
    </row>
    <row r="264" customFormat="false" ht="15" hidden="false" customHeight="false" outlineLevel="0" collapsed="false">
      <c r="A264" s="12" t="s">
        <v>916</v>
      </c>
      <c r="B264" s="12" t="s">
        <v>240</v>
      </c>
      <c r="C264" s="12" t="s">
        <v>228</v>
      </c>
      <c r="D264" s="12" t="s">
        <v>63</v>
      </c>
      <c r="E264" s="12" t="s">
        <v>400</v>
      </c>
      <c r="F264" s="12" t="s">
        <v>401</v>
      </c>
      <c r="G264" s="12" t="n">
        <v>8</v>
      </c>
      <c r="H264" s="12" t="n">
        <v>0</v>
      </c>
      <c r="I264" s="12" t="n">
        <v>2</v>
      </c>
      <c r="J264" s="12" t="s">
        <v>111</v>
      </c>
      <c r="K264" s="12" t="s">
        <v>388</v>
      </c>
      <c r="L264" s="12" t="s">
        <v>389</v>
      </c>
    </row>
    <row r="265" customFormat="false" ht="15" hidden="false" customHeight="false" outlineLevel="0" collapsed="false">
      <c r="A265" s="12" t="s">
        <v>917</v>
      </c>
      <c r="B265" s="12" t="s">
        <v>240</v>
      </c>
      <c r="C265" s="12" t="s">
        <v>228</v>
      </c>
      <c r="D265" s="12" t="s">
        <v>63</v>
      </c>
      <c r="E265" s="12" t="s">
        <v>408</v>
      </c>
      <c r="F265" s="12" t="s">
        <v>409</v>
      </c>
      <c r="G265" s="12" t="n">
        <v>4</v>
      </c>
      <c r="H265" s="12" t="n">
        <v>0</v>
      </c>
      <c r="I265" s="12" t="n">
        <v>1</v>
      </c>
      <c r="J265" s="12" t="s">
        <v>111</v>
      </c>
      <c r="K265" s="12" t="s">
        <v>388</v>
      </c>
      <c r="L265" s="12" t="s">
        <v>389</v>
      </c>
    </row>
    <row r="266" customFormat="false" ht="15" hidden="false" customHeight="false" outlineLevel="0" collapsed="false">
      <c r="A266" s="12" t="s">
        <v>918</v>
      </c>
      <c r="B266" s="12" t="s">
        <v>240</v>
      </c>
      <c r="C266" s="12" t="s">
        <v>228</v>
      </c>
      <c r="D266" s="12" t="s">
        <v>63</v>
      </c>
      <c r="E266" s="12" t="s">
        <v>412</v>
      </c>
      <c r="F266" s="12" t="s">
        <v>413</v>
      </c>
      <c r="G266" s="12" t="n">
        <v>4</v>
      </c>
      <c r="H266" s="12" t="n">
        <v>0</v>
      </c>
      <c r="I266" s="12" t="n">
        <v>1</v>
      </c>
      <c r="J266" s="12" t="s">
        <v>111</v>
      </c>
      <c r="K266" s="12" t="s">
        <v>388</v>
      </c>
      <c r="L266" s="12" t="s">
        <v>389</v>
      </c>
    </row>
    <row r="267" customFormat="false" ht="15" hidden="false" customHeight="false" outlineLevel="0" collapsed="false">
      <c r="A267" s="12" t="s">
        <v>919</v>
      </c>
      <c r="B267" s="12" t="s">
        <v>240</v>
      </c>
      <c r="C267" s="12" t="s">
        <v>228</v>
      </c>
      <c r="D267" s="12" t="s">
        <v>63</v>
      </c>
      <c r="E267" s="12" t="s">
        <v>414</v>
      </c>
      <c r="F267" s="12" t="s">
        <v>415</v>
      </c>
      <c r="G267" s="12" t="n">
        <v>3</v>
      </c>
      <c r="H267" s="12" t="n">
        <v>1</v>
      </c>
      <c r="I267" s="12" t="n">
        <v>2</v>
      </c>
      <c r="J267" s="12" t="s">
        <v>113</v>
      </c>
      <c r="K267" s="12" t="s">
        <v>417</v>
      </c>
      <c r="L267" s="12" t="s">
        <v>418</v>
      </c>
    </row>
    <row r="268" customFormat="false" ht="15" hidden="false" customHeight="false" outlineLevel="0" collapsed="false">
      <c r="A268" s="12" t="s">
        <v>920</v>
      </c>
      <c r="B268" s="12" t="s">
        <v>240</v>
      </c>
      <c r="C268" s="12" t="s">
        <v>228</v>
      </c>
      <c r="D268" s="12" t="s">
        <v>63</v>
      </c>
      <c r="E268" s="12" t="s">
        <v>453</v>
      </c>
      <c r="F268" s="12" t="s">
        <v>454</v>
      </c>
      <c r="G268" s="12" t="n">
        <v>2</v>
      </c>
      <c r="H268" s="12" t="n">
        <v>0</v>
      </c>
      <c r="I268" s="12" t="n">
        <v>1</v>
      </c>
      <c r="J268" s="12" t="s">
        <v>118</v>
      </c>
      <c r="K268" s="12" t="s">
        <v>456</v>
      </c>
      <c r="L268" s="12" t="s">
        <v>389</v>
      </c>
    </row>
    <row r="269" customFormat="false" ht="15" hidden="false" customHeight="false" outlineLevel="0" collapsed="false">
      <c r="A269" s="12" t="s">
        <v>921</v>
      </c>
      <c r="B269" s="12" t="s">
        <v>240</v>
      </c>
      <c r="C269" s="12" t="s">
        <v>228</v>
      </c>
      <c r="D269" s="12" t="s">
        <v>63</v>
      </c>
      <c r="E269" s="12" t="s">
        <v>458</v>
      </c>
      <c r="F269" s="12" t="s">
        <v>459</v>
      </c>
      <c r="G269" s="12" t="n">
        <v>1</v>
      </c>
      <c r="H269" s="12" t="n">
        <v>0</v>
      </c>
      <c r="I269" s="12" t="n">
        <v>1</v>
      </c>
      <c r="J269" s="12" t="s">
        <v>118</v>
      </c>
      <c r="K269" s="12" t="s">
        <v>460</v>
      </c>
      <c r="L269" s="12" t="s">
        <v>389</v>
      </c>
    </row>
    <row r="270" customFormat="false" ht="15" hidden="false" customHeight="false" outlineLevel="0" collapsed="false">
      <c r="A270" s="12" t="s">
        <v>922</v>
      </c>
      <c r="B270" s="12" t="s">
        <v>240</v>
      </c>
      <c r="C270" s="12" t="s">
        <v>228</v>
      </c>
      <c r="D270" s="12" t="s">
        <v>63</v>
      </c>
      <c r="E270" s="12" t="s">
        <v>463</v>
      </c>
      <c r="F270" s="12" t="s">
        <v>464</v>
      </c>
      <c r="G270" s="12" t="n">
        <v>1</v>
      </c>
      <c r="H270" s="12" t="n">
        <v>0</v>
      </c>
      <c r="I270" s="12" t="n">
        <v>1</v>
      </c>
      <c r="J270" s="12" t="s">
        <v>118</v>
      </c>
      <c r="K270" s="12" t="s">
        <v>465</v>
      </c>
      <c r="L270" s="12" t="s">
        <v>418</v>
      </c>
    </row>
    <row r="271" customFormat="false" ht="15" hidden="false" customHeight="false" outlineLevel="0" collapsed="false">
      <c r="A271" s="12" t="s">
        <v>923</v>
      </c>
      <c r="B271" s="12" t="s">
        <v>240</v>
      </c>
      <c r="C271" s="12" t="s">
        <v>228</v>
      </c>
      <c r="D271" s="12" t="s">
        <v>63</v>
      </c>
      <c r="E271" s="12" t="s">
        <v>468</v>
      </c>
      <c r="F271" s="12" t="s">
        <v>469</v>
      </c>
      <c r="G271" s="12" t="n">
        <v>3</v>
      </c>
      <c r="H271" s="12" t="n">
        <v>0</v>
      </c>
      <c r="I271" s="12" t="n">
        <v>1</v>
      </c>
      <c r="J271" s="12" t="s">
        <v>118</v>
      </c>
      <c r="K271" s="12" t="s">
        <v>470</v>
      </c>
      <c r="L271" s="12" t="s">
        <v>418</v>
      </c>
    </row>
    <row r="272" customFormat="false" ht="15" hidden="false" customHeight="false" outlineLevel="0" collapsed="false">
      <c r="A272" s="12" t="s">
        <v>924</v>
      </c>
      <c r="B272" s="12" t="s">
        <v>240</v>
      </c>
      <c r="C272" s="12" t="s">
        <v>228</v>
      </c>
      <c r="D272" s="12" t="s">
        <v>63</v>
      </c>
      <c r="E272" s="12" t="s">
        <v>472</v>
      </c>
      <c r="F272" s="12" t="s">
        <v>473</v>
      </c>
      <c r="G272" s="12" t="n">
        <v>1</v>
      </c>
      <c r="H272" s="12" t="n">
        <v>0</v>
      </c>
      <c r="I272" s="12" t="n">
        <v>1</v>
      </c>
      <c r="J272" s="12" t="s">
        <v>118</v>
      </c>
      <c r="K272" s="12" t="s">
        <v>474</v>
      </c>
      <c r="L272" s="12" t="s">
        <v>418</v>
      </c>
    </row>
    <row r="273" customFormat="false" ht="15" hidden="false" customHeight="false" outlineLevel="0" collapsed="false">
      <c r="A273" s="12" t="s">
        <v>925</v>
      </c>
      <c r="B273" s="12" t="s">
        <v>240</v>
      </c>
      <c r="C273" s="12" t="s">
        <v>228</v>
      </c>
      <c r="D273" s="12" t="s">
        <v>63</v>
      </c>
      <c r="E273" s="12" t="s">
        <v>478</v>
      </c>
      <c r="F273" s="12" t="s">
        <v>479</v>
      </c>
      <c r="G273" s="12" t="n">
        <v>1</v>
      </c>
      <c r="H273" s="12" t="n">
        <v>0</v>
      </c>
      <c r="I273" s="12" t="n">
        <v>1</v>
      </c>
      <c r="J273" s="12" t="s">
        <v>480</v>
      </c>
      <c r="K273" s="12" t="s">
        <v>388</v>
      </c>
      <c r="L273" s="12" t="s">
        <v>389</v>
      </c>
    </row>
    <row r="274" customFormat="false" ht="15" hidden="false" customHeight="false" outlineLevel="0" collapsed="false">
      <c r="A274" s="12" t="s">
        <v>926</v>
      </c>
      <c r="B274" s="12" t="s">
        <v>244</v>
      </c>
      <c r="C274" s="12" t="s">
        <v>228</v>
      </c>
      <c r="D274" s="12" t="s">
        <v>63</v>
      </c>
      <c r="E274" s="12" t="s">
        <v>384</v>
      </c>
      <c r="F274" s="12" t="s">
        <v>385</v>
      </c>
      <c r="G274" s="12" t="n">
        <v>8</v>
      </c>
      <c r="H274" s="12" t="n">
        <v>0</v>
      </c>
      <c r="I274" s="12" t="n">
        <v>2</v>
      </c>
      <c r="J274" s="12" t="s">
        <v>111</v>
      </c>
      <c r="K274" s="12" t="s">
        <v>388</v>
      </c>
      <c r="L274" s="12" t="s">
        <v>389</v>
      </c>
    </row>
    <row r="275" customFormat="false" ht="15" hidden="false" customHeight="false" outlineLevel="0" collapsed="false">
      <c r="A275" s="12" t="s">
        <v>927</v>
      </c>
      <c r="B275" s="12" t="s">
        <v>244</v>
      </c>
      <c r="C275" s="12" t="s">
        <v>228</v>
      </c>
      <c r="D275" s="12" t="s">
        <v>63</v>
      </c>
      <c r="E275" s="12" t="s">
        <v>392</v>
      </c>
      <c r="F275" s="12" t="s">
        <v>393</v>
      </c>
      <c r="G275" s="12" t="n">
        <v>6</v>
      </c>
      <c r="H275" s="12" t="n">
        <v>0</v>
      </c>
      <c r="I275" s="12" t="n">
        <v>1</v>
      </c>
      <c r="J275" s="12" t="s">
        <v>111</v>
      </c>
      <c r="K275" s="12" t="s">
        <v>388</v>
      </c>
      <c r="L275" s="12" t="s">
        <v>389</v>
      </c>
    </row>
    <row r="276" customFormat="false" ht="15" hidden="false" customHeight="false" outlineLevel="0" collapsed="false">
      <c r="A276" s="12" t="s">
        <v>928</v>
      </c>
      <c r="B276" s="12" t="s">
        <v>244</v>
      </c>
      <c r="C276" s="12" t="s">
        <v>228</v>
      </c>
      <c r="D276" s="12" t="s">
        <v>63</v>
      </c>
      <c r="E276" s="12" t="s">
        <v>400</v>
      </c>
      <c r="F276" s="12" t="s">
        <v>401</v>
      </c>
      <c r="G276" s="12" t="n">
        <v>8</v>
      </c>
      <c r="H276" s="12" t="n">
        <v>0</v>
      </c>
      <c r="I276" s="12" t="n">
        <v>2</v>
      </c>
      <c r="J276" s="12" t="s">
        <v>111</v>
      </c>
      <c r="K276" s="12" t="s">
        <v>388</v>
      </c>
      <c r="L276" s="12" t="s">
        <v>389</v>
      </c>
    </row>
    <row r="277" customFormat="false" ht="15" hidden="false" customHeight="false" outlineLevel="0" collapsed="false">
      <c r="A277" s="12" t="s">
        <v>929</v>
      </c>
      <c r="B277" s="12" t="s">
        <v>244</v>
      </c>
      <c r="C277" s="12" t="s">
        <v>228</v>
      </c>
      <c r="D277" s="12" t="s">
        <v>63</v>
      </c>
      <c r="E277" s="12" t="s">
        <v>408</v>
      </c>
      <c r="F277" s="12" t="s">
        <v>409</v>
      </c>
      <c r="G277" s="12" t="n">
        <v>4</v>
      </c>
      <c r="H277" s="12" t="n">
        <v>0</v>
      </c>
      <c r="I277" s="12" t="n">
        <v>1</v>
      </c>
      <c r="J277" s="12" t="s">
        <v>111</v>
      </c>
      <c r="K277" s="12" t="s">
        <v>388</v>
      </c>
      <c r="L277" s="12" t="s">
        <v>389</v>
      </c>
    </row>
    <row r="278" customFormat="false" ht="15" hidden="false" customHeight="false" outlineLevel="0" collapsed="false">
      <c r="A278" s="12" t="s">
        <v>930</v>
      </c>
      <c r="B278" s="12" t="s">
        <v>244</v>
      </c>
      <c r="C278" s="12" t="s">
        <v>228</v>
      </c>
      <c r="D278" s="12" t="s">
        <v>63</v>
      </c>
      <c r="E278" s="12" t="s">
        <v>412</v>
      </c>
      <c r="F278" s="12" t="s">
        <v>413</v>
      </c>
      <c r="G278" s="12" t="n">
        <v>4</v>
      </c>
      <c r="H278" s="12" t="n">
        <v>0</v>
      </c>
      <c r="I278" s="12" t="n">
        <v>1</v>
      </c>
      <c r="J278" s="12" t="s">
        <v>111</v>
      </c>
      <c r="K278" s="12" t="s">
        <v>388</v>
      </c>
      <c r="L278" s="12" t="s">
        <v>389</v>
      </c>
    </row>
    <row r="279" customFormat="false" ht="15" hidden="false" customHeight="false" outlineLevel="0" collapsed="false">
      <c r="A279" s="12" t="s">
        <v>931</v>
      </c>
      <c r="B279" s="12" t="s">
        <v>244</v>
      </c>
      <c r="C279" s="12" t="s">
        <v>228</v>
      </c>
      <c r="D279" s="12" t="s">
        <v>63</v>
      </c>
      <c r="E279" s="12" t="s">
        <v>414</v>
      </c>
      <c r="F279" s="12" t="s">
        <v>415</v>
      </c>
      <c r="G279" s="12" t="n">
        <v>3</v>
      </c>
      <c r="H279" s="12" t="n">
        <v>1</v>
      </c>
      <c r="I279" s="12" t="n">
        <v>2</v>
      </c>
      <c r="J279" s="12" t="s">
        <v>113</v>
      </c>
      <c r="K279" s="12" t="s">
        <v>417</v>
      </c>
      <c r="L279" s="12" t="s">
        <v>418</v>
      </c>
    </row>
    <row r="280" customFormat="false" ht="15" hidden="false" customHeight="false" outlineLevel="0" collapsed="false">
      <c r="A280" s="12" t="s">
        <v>932</v>
      </c>
      <c r="B280" s="12" t="s">
        <v>244</v>
      </c>
      <c r="C280" s="12" t="s">
        <v>228</v>
      </c>
      <c r="D280" s="12" t="s">
        <v>63</v>
      </c>
      <c r="E280" s="12" t="s">
        <v>453</v>
      </c>
      <c r="F280" s="12" t="s">
        <v>454</v>
      </c>
      <c r="G280" s="12" t="n">
        <v>2</v>
      </c>
      <c r="H280" s="12" t="n">
        <v>0</v>
      </c>
      <c r="I280" s="12" t="n">
        <v>1</v>
      </c>
      <c r="J280" s="12" t="s">
        <v>118</v>
      </c>
      <c r="K280" s="12" t="s">
        <v>456</v>
      </c>
      <c r="L280" s="12" t="s">
        <v>389</v>
      </c>
    </row>
    <row r="281" customFormat="false" ht="15" hidden="false" customHeight="false" outlineLevel="0" collapsed="false">
      <c r="A281" s="12" t="s">
        <v>933</v>
      </c>
      <c r="B281" s="12" t="s">
        <v>244</v>
      </c>
      <c r="C281" s="12" t="s">
        <v>228</v>
      </c>
      <c r="D281" s="12" t="s">
        <v>63</v>
      </c>
      <c r="E281" s="12" t="s">
        <v>458</v>
      </c>
      <c r="F281" s="12" t="s">
        <v>459</v>
      </c>
      <c r="G281" s="12" t="n">
        <v>1</v>
      </c>
      <c r="H281" s="12" t="n">
        <v>0</v>
      </c>
      <c r="I281" s="12" t="n">
        <v>1</v>
      </c>
      <c r="J281" s="12" t="s">
        <v>118</v>
      </c>
      <c r="K281" s="12" t="s">
        <v>460</v>
      </c>
      <c r="L281" s="12" t="s">
        <v>389</v>
      </c>
    </row>
    <row r="282" customFormat="false" ht="15" hidden="false" customHeight="false" outlineLevel="0" collapsed="false">
      <c r="A282" s="12" t="s">
        <v>934</v>
      </c>
      <c r="B282" s="12" t="s">
        <v>244</v>
      </c>
      <c r="C282" s="12" t="s">
        <v>228</v>
      </c>
      <c r="D282" s="12" t="s">
        <v>63</v>
      </c>
      <c r="E282" s="12" t="s">
        <v>463</v>
      </c>
      <c r="F282" s="12" t="s">
        <v>464</v>
      </c>
      <c r="G282" s="12" t="n">
        <v>1</v>
      </c>
      <c r="H282" s="12" t="n">
        <v>0</v>
      </c>
      <c r="I282" s="12" t="n">
        <v>1</v>
      </c>
      <c r="J282" s="12" t="s">
        <v>118</v>
      </c>
      <c r="K282" s="12" t="s">
        <v>465</v>
      </c>
      <c r="L282" s="12" t="s">
        <v>418</v>
      </c>
    </row>
    <row r="283" customFormat="false" ht="15" hidden="false" customHeight="false" outlineLevel="0" collapsed="false">
      <c r="A283" s="12" t="s">
        <v>935</v>
      </c>
      <c r="B283" s="12" t="s">
        <v>244</v>
      </c>
      <c r="C283" s="12" t="s">
        <v>228</v>
      </c>
      <c r="D283" s="12" t="s">
        <v>63</v>
      </c>
      <c r="E283" s="12" t="s">
        <v>468</v>
      </c>
      <c r="F283" s="12" t="s">
        <v>469</v>
      </c>
      <c r="G283" s="12" t="n">
        <v>3</v>
      </c>
      <c r="H283" s="12" t="n">
        <v>0</v>
      </c>
      <c r="I283" s="12" t="n">
        <v>1</v>
      </c>
      <c r="J283" s="12" t="s">
        <v>118</v>
      </c>
      <c r="K283" s="12" t="s">
        <v>470</v>
      </c>
      <c r="L283" s="12" t="s">
        <v>418</v>
      </c>
    </row>
    <row r="284" customFormat="false" ht="15" hidden="false" customHeight="false" outlineLevel="0" collapsed="false">
      <c r="A284" s="12" t="s">
        <v>936</v>
      </c>
      <c r="B284" s="12" t="s">
        <v>244</v>
      </c>
      <c r="C284" s="12" t="s">
        <v>228</v>
      </c>
      <c r="D284" s="12" t="s">
        <v>63</v>
      </c>
      <c r="E284" s="12" t="s">
        <v>472</v>
      </c>
      <c r="F284" s="12" t="s">
        <v>473</v>
      </c>
      <c r="G284" s="12" t="n">
        <v>1</v>
      </c>
      <c r="H284" s="12" t="n">
        <v>0</v>
      </c>
      <c r="I284" s="12" t="n">
        <v>1</v>
      </c>
      <c r="J284" s="12" t="s">
        <v>118</v>
      </c>
      <c r="K284" s="12" t="s">
        <v>474</v>
      </c>
      <c r="L284" s="12" t="s">
        <v>418</v>
      </c>
    </row>
    <row r="285" customFormat="false" ht="15" hidden="false" customHeight="false" outlineLevel="0" collapsed="false">
      <c r="A285" s="12" t="s">
        <v>937</v>
      </c>
      <c r="B285" s="12" t="s">
        <v>244</v>
      </c>
      <c r="C285" s="12" t="s">
        <v>228</v>
      </c>
      <c r="D285" s="12" t="s">
        <v>63</v>
      </c>
      <c r="E285" s="12" t="s">
        <v>478</v>
      </c>
      <c r="F285" s="12" t="s">
        <v>479</v>
      </c>
      <c r="G285" s="12" t="n">
        <v>1</v>
      </c>
      <c r="H285" s="12" t="n">
        <v>0</v>
      </c>
      <c r="I285" s="12" t="n">
        <v>1</v>
      </c>
      <c r="J285" s="12" t="s">
        <v>480</v>
      </c>
      <c r="K285" s="12" t="s">
        <v>388</v>
      </c>
      <c r="L285" s="12" t="s">
        <v>389</v>
      </c>
    </row>
    <row r="286" customFormat="false" ht="15" hidden="false" customHeight="false" outlineLevel="0" collapsed="false">
      <c r="A286" s="12" t="s">
        <v>938</v>
      </c>
      <c r="B286" s="12" t="s">
        <v>249</v>
      </c>
      <c r="C286" s="12" t="s">
        <v>250</v>
      </c>
      <c r="D286" s="12" t="s">
        <v>67</v>
      </c>
      <c r="E286" s="12" t="s">
        <v>384</v>
      </c>
      <c r="F286" s="12" t="s">
        <v>385</v>
      </c>
      <c r="G286" s="12" t="n">
        <v>7</v>
      </c>
      <c r="H286" s="12" t="n">
        <v>0</v>
      </c>
      <c r="I286" s="12" t="n">
        <v>2</v>
      </c>
      <c r="J286" s="12" t="s">
        <v>113</v>
      </c>
      <c r="K286" s="12" t="s">
        <v>388</v>
      </c>
      <c r="L286" s="12" t="s">
        <v>389</v>
      </c>
    </row>
    <row r="287" customFormat="false" ht="15" hidden="false" customHeight="false" outlineLevel="0" collapsed="false">
      <c r="A287" s="12" t="s">
        <v>939</v>
      </c>
      <c r="B287" s="12" t="s">
        <v>249</v>
      </c>
      <c r="C287" s="12" t="s">
        <v>250</v>
      </c>
      <c r="D287" s="12" t="s">
        <v>67</v>
      </c>
      <c r="E287" s="12" t="s">
        <v>392</v>
      </c>
      <c r="F287" s="12" t="s">
        <v>393</v>
      </c>
      <c r="G287" s="12" t="n">
        <v>6</v>
      </c>
      <c r="H287" s="12" t="n">
        <v>0</v>
      </c>
      <c r="I287" s="12" t="n">
        <v>1</v>
      </c>
      <c r="J287" s="12" t="s">
        <v>113</v>
      </c>
      <c r="K287" s="12" t="s">
        <v>388</v>
      </c>
      <c r="L287" s="12" t="s">
        <v>389</v>
      </c>
    </row>
    <row r="288" customFormat="false" ht="15" hidden="false" customHeight="false" outlineLevel="0" collapsed="false">
      <c r="A288" s="12" t="s">
        <v>940</v>
      </c>
      <c r="B288" s="12" t="s">
        <v>249</v>
      </c>
      <c r="C288" s="12" t="s">
        <v>250</v>
      </c>
      <c r="D288" s="12" t="s">
        <v>67</v>
      </c>
      <c r="E288" s="12" t="s">
        <v>396</v>
      </c>
      <c r="F288" s="12" t="s">
        <v>397</v>
      </c>
      <c r="G288" s="12" t="n">
        <v>4</v>
      </c>
      <c r="H288" s="12" t="n">
        <v>0</v>
      </c>
      <c r="I288" s="12" t="n">
        <v>1</v>
      </c>
      <c r="J288" s="12" t="s">
        <v>113</v>
      </c>
      <c r="K288" s="12" t="s">
        <v>388</v>
      </c>
      <c r="L288" s="12" t="s">
        <v>389</v>
      </c>
    </row>
    <row r="289" customFormat="false" ht="15" hidden="false" customHeight="false" outlineLevel="0" collapsed="false">
      <c r="A289" s="12" t="s">
        <v>941</v>
      </c>
      <c r="B289" s="12" t="s">
        <v>249</v>
      </c>
      <c r="C289" s="12" t="s">
        <v>250</v>
      </c>
      <c r="D289" s="12" t="s">
        <v>67</v>
      </c>
      <c r="E289" s="12" t="s">
        <v>400</v>
      </c>
      <c r="F289" s="12" t="s">
        <v>401</v>
      </c>
      <c r="G289" s="12" t="n">
        <v>7</v>
      </c>
      <c r="H289" s="12" t="n">
        <v>0</v>
      </c>
      <c r="I289" s="12" t="n">
        <v>2</v>
      </c>
      <c r="J289" s="12" t="s">
        <v>113</v>
      </c>
      <c r="K289" s="12" t="s">
        <v>388</v>
      </c>
      <c r="L289" s="12" t="s">
        <v>389</v>
      </c>
    </row>
    <row r="290" customFormat="false" ht="15" hidden="false" customHeight="false" outlineLevel="0" collapsed="false">
      <c r="A290" s="12" t="s">
        <v>942</v>
      </c>
      <c r="B290" s="12" t="s">
        <v>249</v>
      </c>
      <c r="C290" s="12" t="s">
        <v>250</v>
      </c>
      <c r="D290" s="12" t="s">
        <v>67</v>
      </c>
      <c r="E290" s="12" t="s">
        <v>408</v>
      </c>
      <c r="F290" s="12" t="s">
        <v>409</v>
      </c>
      <c r="G290" s="12" t="n">
        <v>6</v>
      </c>
      <c r="H290" s="12" t="n">
        <v>0</v>
      </c>
      <c r="I290" s="12" t="n">
        <v>1</v>
      </c>
      <c r="J290" s="12" t="s">
        <v>113</v>
      </c>
      <c r="K290" s="12" t="s">
        <v>388</v>
      </c>
      <c r="L290" s="12" t="s">
        <v>389</v>
      </c>
    </row>
    <row r="291" customFormat="false" ht="15" hidden="false" customHeight="false" outlineLevel="0" collapsed="false">
      <c r="A291" s="12" t="s">
        <v>943</v>
      </c>
      <c r="B291" s="12" t="s">
        <v>249</v>
      </c>
      <c r="C291" s="12" t="s">
        <v>250</v>
      </c>
      <c r="D291" s="12" t="s">
        <v>67</v>
      </c>
      <c r="E291" s="12" t="s">
        <v>412</v>
      </c>
      <c r="F291" s="12" t="s">
        <v>413</v>
      </c>
      <c r="G291" s="12" t="n">
        <v>6</v>
      </c>
      <c r="H291" s="12" t="n">
        <v>0</v>
      </c>
      <c r="I291" s="12" t="n">
        <v>1</v>
      </c>
      <c r="J291" s="12" t="s">
        <v>113</v>
      </c>
      <c r="K291" s="12" t="s">
        <v>388</v>
      </c>
      <c r="L291" s="12" t="s">
        <v>389</v>
      </c>
    </row>
    <row r="292" customFormat="false" ht="15" hidden="false" customHeight="false" outlineLevel="0" collapsed="false">
      <c r="A292" s="12" t="s">
        <v>944</v>
      </c>
      <c r="B292" s="12" t="s">
        <v>249</v>
      </c>
      <c r="C292" s="12" t="s">
        <v>250</v>
      </c>
      <c r="D292" s="12" t="s">
        <v>67</v>
      </c>
      <c r="E292" s="12" t="s">
        <v>414</v>
      </c>
      <c r="F292" s="12" t="s">
        <v>415</v>
      </c>
      <c r="G292" s="12" t="n">
        <v>2</v>
      </c>
      <c r="H292" s="12" t="n">
        <v>1</v>
      </c>
      <c r="I292" s="12" t="n">
        <v>2</v>
      </c>
      <c r="J292" s="12" t="s">
        <v>113</v>
      </c>
      <c r="K292" s="12" t="s">
        <v>417</v>
      </c>
      <c r="L292" s="12" t="s">
        <v>418</v>
      </c>
    </row>
    <row r="293" customFormat="false" ht="15" hidden="false" customHeight="false" outlineLevel="0" collapsed="false">
      <c r="A293" s="12" t="s">
        <v>945</v>
      </c>
      <c r="B293" s="12" t="s">
        <v>249</v>
      </c>
      <c r="C293" s="12" t="s">
        <v>250</v>
      </c>
      <c r="D293" s="12" t="s">
        <v>67</v>
      </c>
      <c r="E293" s="12" t="s">
        <v>453</v>
      </c>
      <c r="F293" s="12" t="s">
        <v>454</v>
      </c>
      <c r="G293" s="12" t="n">
        <v>2</v>
      </c>
      <c r="H293" s="12" t="n">
        <v>0</v>
      </c>
      <c r="I293" s="12" t="n">
        <v>1</v>
      </c>
      <c r="J293" s="12" t="s">
        <v>118</v>
      </c>
      <c r="K293" s="12" t="s">
        <v>456</v>
      </c>
      <c r="L293" s="12" t="s">
        <v>389</v>
      </c>
    </row>
    <row r="294" customFormat="false" ht="15" hidden="false" customHeight="false" outlineLevel="0" collapsed="false">
      <c r="A294" s="12" t="s">
        <v>946</v>
      </c>
      <c r="B294" s="12" t="s">
        <v>249</v>
      </c>
      <c r="C294" s="12" t="s">
        <v>250</v>
      </c>
      <c r="D294" s="12" t="s">
        <v>67</v>
      </c>
      <c r="E294" s="12" t="s">
        <v>458</v>
      </c>
      <c r="F294" s="12" t="s">
        <v>459</v>
      </c>
      <c r="G294" s="12" t="n">
        <v>1</v>
      </c>
      <c r="H294" s="12" t="n">
        <v>0</v>
      </c>
      <c r="I294" s="12" t="n">
        <v>1</v>
      </c>
      <c r="J294" s="12" t="s">
        <v>118</v>
      </c>
      <c r="K294" s="12" t="s">
        <v>460</v>
      </c>
      <c r="L294" s="12" t="s">
        <v>389</v>
      </c>
    </row>
    <row r="295" customFormat="false" ht="15" hidden="false" customHeight="false" outlineLevel="0" collapsed="false">
      <c r="A295" s="12" t="s">
        <v>947</v>
      </c>
      <c r="B295" s="12" t="s">
        <v>249</v>
      </c>
      <c r="C295" s="12" t="s">
        <v>250</v>
      </c>
      <c r="D295" s="12" t="s">
        <v>67</v>
      </c>
      <c r="E295" s="12" t="s">
        <v>463</v>
      </c>
      <c r="F295" s="12" t="s">
        <v>464</v>
      </c>
      <c r="G295" s="12" t="n">
        <v>1</v>
      </c>
      <c r="H295" s="12" t="n">
        <v>0</v>
      </c>
      <c r="I295" s="12" t="n">
        <v>1</v>
      </c>
      <c r="J295" s="12" t="s">
        <v>118</v>
      </c>
      <c r="K295" s="12" t="s">
        <v>465</v>
      </c>
      <c r="L295" s="12" t="s">
        <v>418</v>
      </c>
    </row>
    <row r="296" customFormat="false" ht="15" hidden="false" customHeight="false" outlineLevel="0" collapsed="false">
      <c r="A296" s="12" t="s">
        <v>948</v>
      </c>
      <c r="B296" s="12" t="s">
        <v>249</v>
      </c>
      <c r="C296" s="12" t="s">
        <v>250</v>
      </c>
      <c r="D296" s="12" t="s">
        <v>67</v>
      </c>
      <c r="E296" s="12" t="s">
        <v>468</v>
      </c>
      <c r="F296" s="12" t="s">
        <v>469</v>
      </c>
      <c r="G296" s="12" t="n">
        <v>4</v>
      </c>
      <c r="H296" s="12" t="n">
        <v>0</v>
      </c>
      <c r="I296" s="12" t="n">
        <v>1</v>
      </c>
      <c r="J296" s="12" t="s">
        <v>118</v>
      </c>
      <c r="K296" s="12" t="s">
        <v>470</v>
      </c>
      <c r="L296" s="12" t="s">
        <v>418</v>
      </c>
    </row>
    <row r="297" customFormat="false" ht="15" hidden="false" customHeight="false" outlineLevel="0" collapsed="false">
      <c r="A297" s="12" t="s">
        <v>949</v>
      </c>
      <c r="B297" s="12" t="s">
        <v>249</v>
      </c>
      <c r="C297" s="12" t="s">
        <v>250</v>
      </c>
      <c r="D297" s="12" t="s">
        <v>67</v>
      </c>
      <c r="E297" s="12" t="s">
        <v>472</v>
      </c>
      <c r="F297" s="12" t="s">
        <v>473</v>
      </c>
      <c r="G297" s="12" t="n">
        <v>1</v>
      </c>
      <c r="H297" s="12" t="n">
        <v>0</v>
      </c>
      <c r="I297" s="12" t="n">
        <v>1</v>
      </c>
      <c r="J297" s="12" t="s">
        <v>118</v>
      </c>
      <c r="K297" s="12" t="s">
        <v>474</v>
      </c>
      <c r="L297" s="12" t="s">
        <v>418</v>
      </c>
    </row>
    <row r="298" customFormat="false" ht="15" hidden="false" customHeight="false" outlineLevel="0" collapsed="false">
      <c r="A298" s="12" t="s">
        <v>950</v>
      </c>
      <c r="B298" s="12" t="s">
        <v>249</v>
      </c>
      <c r="C298" s="12" t="s">
        <v>250</v>
      </c>
      <c r="D298" s="12" t="s">
        <v>67</v>
      </c>
      <c r="E298" s="12" t="s">
        <v>478</v>
      </c>
      <c r="F298" s="12" t="s">
        <v>479</v>
      </c>
      <c r="G298" s="12" t="n">
        <v>1</v>
      </c>
      <c r="H298" s="12" t="n">
        <v>0</v>
      </c>
      <c r="I298" s="12" t="n">
        <v>1</v>
      </c>
      <c r="J298" s="12" t="s">
        <v>480</v>
      </c>
      <c r="K298" s="12" t="s">
        <v>388</v>
      </c>
      <c r="L298" s="12" t="s">
        <v>389</v>
      </c>
    </row>
    <row r="299" customFormat="false" ht="15" hidden="false" customHeight="false" outlineLevel="0" collapsed="false">
      <c r="A299" s="12" t="s">
        <v>951</v>
      </c>
      <c r="B299" s="12" t="s">
        <v>254</v>
      </c>
      <c r="C299" s="12" t="s">
        <v>250</v>
      </c>
      <c r="D299" s="12" t="s">
        <v>67</v>
      </c>
      <c r="E299" s="12" t="s">
        <v>384</v>
      </c>
      <c r="F299" s="12" t="s">
        <v>385</v>
      </c>
      <c r="G299" s="12" t="n">
        <v>7</v>
      </c>
      <c r="H299" s="12" t="n">
        <v>0</v>
      </c>
      <c r="I299" s="12" t="n">
        <v>2</v>
      </c>
      <c r="J299" s="12" t="s">
        <v>113</v>
      </c>
      <c r="K299" s="12" t="s">
        <v>388</v>
      </c>
      <c r="L299" s="12" t="s">
        <v>389</v>
      </c>
    </row>
    <row r="300" customFormat="false" ht="15" hidden="false" customHeight="false" outlineLevel="0" collapsed="false">
      <c r="A300" s="12" t="s">
        <v>952</v>
      </c>
      <c r="B300" s="12" t="s">
        <v>254</v>
      </c>
      <c r="C300" s="12" t="s">
        <v>250</v>
      </c>
      <c r="D300" s="12" t="s">
        <v>67</v>
      </c>
      <c r="E300" s="12" t="s">
        <v>392</v>
      </c>
      <c r="F300" s="12" t="s">
        <v>393</v>
      </c>
      <c r="G300" s="12" t="n">
        <v>6</v>
      </c>
      <c r="H300" s="12" t="n">
        <v>0</v>
      </c>
      <c r="I300" s="12" t="n">
        <v>1</v>
      </c>
      <c r="J300" s="12" t="s">
        <v>113</v>
      </c>
      <c r="K300" s="12" t="s">
        <v>388</v>
      </c>
      <c r="L300" s="12" t="s">
        <v>389</v>
      </c>
    </row>
    <row r="301" customFormat="false" ht="15" hidden="false" customHeight="false" outlineLevel="0" collapsed="false">
      <c r="A301" s="12" t="s">
        <v>953</v>
      </c>
      <c r="B301" s="12" t="s">
        <v>254</v>
      </c>
      <c r="C301" s="12" t="s">
        <v>250</v>
      </c>
      <c r="D301" s="12" t="s">
        <v>67</v>
      </c>
      <c r="E301" s="12" t="s">
        <v>396</v>
      </c>
      <c r="F301" s="12" t="s">
        <v>397</v>
      </c>
      <c r="G301" s="12" t="n">
        <v>4</v>
      </c>
      <c r="H301" s="12" t="n">
        <v>0</v>
      </c>
      <c r="I301" s="12" t="n">
        <v>1</v>
      </c>
      <c r="J301" s="12" t="s">
        <v>113</v>
      </c>
      <c r="K301" s="12" t="s">
        <v>388</v>
      </c>
      <c r="L301" s="12" t="s">
        <v>389</v>
      </c>
    </row>
    <row r="302" customFormat="false" ht="15" hidden="false" customHeight="false" outlineLevel="0" collapsed="false">
      <c r="A302" s="12" t="s">
        <v>954</v>
      </c>
      <c r="B302" s="12" t="s">
        <v>254</v>
      </c>
      <c r="C302" s="12" t="s">
        <v>250</v>
      </c>
      <c r="D302" s="12" t="s">
        <v>67</v>
      </c>
      <c r="E302" s="12" t="s">
        <v>400</v>
      </c>
      <c r="F302" s="12" t="s">
        <v>401</v>
      </c>
      <c r="G302" s="12" t="n">
        <v>7</v>
      </c>
      <c r="H302" s="12" t="n">
        <v>0</v>
      </c>
      <c r="I302" s="12" t="n">
        <v>2</v>
      </c>
      <c r="J302" s="12" t="s">
        <v>113</v>
      </c>
      <c r="K302" s="12" t="s">
        <v>388</v>
      </c>
      <c r="L302" s="12" t="s">
        <v>389</v>
      </c>
    </row>
    <row r="303" customFormat="false" ht="15" hidden="false" customHeight="false" outlineLevel="0" collapsed="false">
      <c r="A303" s="12" t="s">
        <v>955</v>
      </c>
      <c r="B303" s="12" t="s">
        <v>254</v>
      </c>
      <c r="C303" s="12" t="s">
        <v>250</v>
      </c>
      <c r="D303" s="12" t="s">
        <v>67</v>
      </c>
      <c r="E303" s="12" t="s">
        <v>408</v>
      </c>
      <c r="F303" s="12" t="s">
        <v>409</v>
      </c>
      <c r="G303" s="12" t="n">
        <v>6</v>
      </c>
      <c r="H303" s="12" t="n">
        <v>0</v>
      </c>
      <c r="I303" s="12" t="n">
        <v>1</v>
      </c>
      <c r="J303" s="12" t="s">
        <v>113</v>
      </c>
      <c r="K303" s="12" t="s">
        <v>388</v>
      </c>
      <c r="L303" s="12" t="s">
        <v>389</v>
      </c>
    </row>
    <row r="304" customFormat="false" ht="15" hidden="false" customHeight="false" outlineLevel="0" collapsed="false">
      <c r="A304" s="12" t="s">
        <v>956</v>
      </c>
      <c r="B304" s="12" t="s">
        <v>254</v>
      </c>
      <c r="C304" s="12" t="s">
        <v>250</v>
      </c>
      <c r="D304" s="12" t="s">
        <v>67</v>
      </c>
      <c r="E304" s="12" t="s">
        <v>412</v>
      </c>
      <c r="F304" s="12" t="s">
        <v>413</v>
      </c>
      <c r="G304" s="12" t="n">
        <v>6</v>
      </c>
      <c r="H304" s="12" t="n">
        <v>0</v>
      </c>
      <c r="I304" s="12" t="n">
        <v>1</v>
      </c>
      <c r="J304" s="12" t="s">
        <v>113</v>
      </c>
      <c r="K304" s="12" t="s">
        <v>388</v>
      </c>
      <c r="L304" s="12" t="s">
        <v>389</v>
      </c>
    </row>
    <row r="305" customFormat="false" ht="15" hidden="false" customHeight="false" outlineLevel="0" collapsed="false">
      <c r="A305" s="12" t="s">
        <v>957</v>
      </c>
      <c r="B305" s="12" t="s">
        <v>254</v>
      </c>
      <c r="C305" s="12" t="s">
        <v>250</v>
      </c>
      <c r="D305" s="12" t="s">
        <v>67</v>
      </c>
      <c r="E305" s="12" t="s">
        <v>414</v>
      </c>
      <c r="F305" s="12" t="s">
        <v>415</v>
      </c>
      <c r="G305" s="12" t="n">
        <v>2</v>
      </c>
      <c r="H305" s="12" t="n">
        <v>1</v>
      </c>
      <c r="I305" s="12" t="n">
        <v>2</v>
      </c>
      <c r="J305" s="12" t="s">
        <v>113</v>
      </c>
      <c r="K305" s="12" t="s">
        <v>417</v>
      </c>
      <c r="L305" s="12" t="s">
        <v>418</v>
      </c>
    </row>
    <row r="306" customFormat="false" ht="15" hidden="false" customHeight="false" outlineLevel="0" collapsed="false">
      <c r="A306" s="12" t="s">
        <v>958</v>
      </c>
      <c r="B306" s="12" t="s">
        <v>254</v>
      </c>
      <c r="C306" s="12" t="s">
        <v>250</v>
      </c>
      <c r="D306" s="12" t="s">
        <v>67</v>
      </c>
      <c r="E306" s="12" t="s">
        <v>453</v>
      </c>
      <c r="F306" s="12" t="s">
        <v>454</v>
      </c>
      <c r="G306" s="12" t="n">
        <v>2</v>
      </c>
      <c r="H306" s="12" t="n">
        <v>0</v>
      </c>
      <c r="I306" s="12" t="n">
        <v>1</v>
      </c>
      <c r="J306" s="12" t="s">
        <v>118</v>
      </c>
      <c r="K306" s="12" t="s">
        <v>456</v>
      </c>
      <c r="L306" s="12" t="s">
        <v>389</v>
      </c>
    </row>
    <row r="307" customFormat="false" ht="15" hidden="false" customHeight="false" outlineLevel="0" collapsed="false">
      <c r="A307" s="12" t="s">
        <v>959</v>
      </c>
      <c r="B307" s="12" t="s">
        <v>254</v>
      </c>
      <c r="C307" s="12" t="s">
        <v>250</v>
      </c>
      <c r="D307" s="12" t="s">
        <v>67</v>
      </c>
      <c r="E307" s="12" t="s">
        <v>458</v>
      </c>
      <c r="F307" s="12" t="s">
        <v>459</v>
      </c>
      <c r="G307" s="12" t="n">
        <v>1</v>
      </c>
      <c r="H307" s="12" t="n">
        <v>0</v>
      </c>
      <c r="I307" s="12" t="n">
        <v>1</v>
      </c>
      <c r="J307" s="12" t="s">
        <v>118</v>
      </c>
      <c r="K307" s="12" t="s">
        <v>460</v>
      </c>
      <c r="L307" s="12" t="s">
        <v>389</v>
      </c>
    </row>
    <row r="308" customFormat="false" ht="15" hidden="false" customHeight="false" outlineLevel="0" collapsed="false">
      <c r="A308" s="12" t="s">
        <v>960</v>
      </c>
      <c r="B308" s="12" t="s">
        <v>254</v>
      </c>
      <c r="C308" s="12" t="s">
        <v>250</v>
      </c>
      <c r="D308" s="12" t="s">
        <v>67</v>
      </c>
      <c r="E308" s="12" t="s">
        <v>463</v>
      </c>
      <c r="F308" s="12" t="s">
        <v>464</v>
      </c>
      <c r="G308" s="12" t="n">
        <v>1</v>
      </c>
      <c r="H308" s="12" t="n">
        <v>0</v>
      </c>
      <c r="I308" s="12" t="n">
        <v>1</v>
      </c>
      <c r="J308" s="12" t="s">
        <v>118</v>
      </c>
      <c r="K308" s="12" t="s">
        <v>465</v>
      </c>
      <c r="L308" s="12" t="s">
        <v>418</v>
      </c>
    </row>
    <row r="309" customFormat="false" ht="15" hidden="false" customHeight="false" outlineLevel="0" collapsed="false">
      <c r="A309" s="12" t="s">
        <v>961</v>
      </c>
      <c r="B309" s="12" t="s">
        <v>254</v>
      </c>
      <c r="C309" s="12" t="s">
        <v>250</v>
      </c>
      <c r="D309" s="12" t="s">
        <v>67</v>
      </c>
      <c r="E309" s="12" t="s">
        <v>468</v>
      </c>
      <c r="F309" s="12" t="s">
        <v>469</v>
      </c>
      <c r="G309" s="12" t="n">
        <v>4</v>
      </c>
      <c r="H309" s="12" t="n">
        <v>0</v>
      </c>
      <c r="I309" s="12" t="n">
        <v>1</v>
      </c>
      <c r="J309" s="12" t="s">
        <v>118</v>
      </c>
      <c r="K309" s="12" t="s">
        <v>470</v>
      </c>
      <c r="L309" s="12" t="s">
        <v>418</v>
      </c>
    </row>
    <row r="310" customFormat="false" ht="15" hidden="false" customHeight="false" outlineLevel="0" collapsed="false">
      <c r="A310" s="12" t="s">
        <v>962</v>
      </c>
      <c r="B310" s="12" t="s">
        <v>254</v>
      </c>
      <c r="C310" s="12" t="s">
        <v>250</v>
      </c>
      <c r="D310" s="12" t="s">
        <v>67</v>
      </c>
      <c r="E310" s="12" t="s">
        <v>472</v>
      </c>
      <c r="F310" s="12" t="s">
        <v>473</v>
      </c>
      <c r="G310" s="12" t="n">
        <v>1</v>
      </c>
      <c r="H310" s="12" t="n">
        <v>0</v>
      </c>
      <c r="I310" s="12" t="n">
        <v>1</v>
      </c>
      <c r="J310" s="12" t="s">
        <v>118</v>
      </c>
      <c r="K310" s="12" t="s">
        <v>474</v>
      </c>
      <c r="L310" s="12" t="s">
        <v>418</v>
      </c>
    </row>
    <row r="311" customFormat="false" ht="15" hidden="false" customHeight="false" outlineLevel="0" collapsed="false">
      <c r="A311" s="12" t="s">
        <v>963</v>
      </c>
      <c r="B311" s="12" t="s">
        <v>254</v>
      </c>
      <c r="C311" s="12" t="s">
        <v>250</v>
      </c>
      <c r="D311" s="12" t="s">
        <v>67</v>
      </c>
      <c r="E311" s="12" t="s">
        <v>478</v>
      </c>
      <c r="F311" s="12" t="s">
        <v>479</v>
      </c>
      <c r="G311" s="12" t="n">
        <v>1</v>
      </c>
      <c r="H311" s="12" t="n">
        <v>0</v>
      </c>
      <c r="I311" s="12" t="n">
        <v>1</v>
      </c>
      <c r="J311" s="12" t="s">
        <v>480</v>
      </c>
      <c r="K311" s="12" t="s">
        <v>388</v>
      </c>
      <c r="L311" s="12" t="s">
        <v>389</v>
      </c>
    </row>
    <row r="312" customFormat="false" ht="15" hidden="false" customHeight="false" outlineLevel="0" collapsed="false">
      <c r="A312" s="12" t="s">
        <v>964</v>
      </c>
      <c r="B312" s="12" t="s">
        <v>258</v>
      </c>
      <c r="C312" s="12" t="s">
        <v>250</v>
      </c>
      <c r="D312" s="12" t="s">
        <v>67</v>
      </c>
      <c r="E312" s="12" t="s">
        <v>384</v>
      </c>
      <c r="F312" s="12" t="s">
        <v>385</v>
      </c>
      <c r="G312" s="12" t="n">
        <v>7</v>
      </c>
      <c r="H312" s="12" t="n">
        <v>0</v>
      </c>
      <c r="I312" s="12" t="n">
        <v>2</v>
      </c>
      <c r="J312" s="12" t="s">
        <v>113</v>
      </c>
      <c r="K312" s="12" t="s">
        <v>388</v>
      </c>
      <c r="L312" s="12" t="s">
        <v>389</v>
      </c>
    </row>
    <row r="313" customFormat="false" ht="15" hidden="false" customHeight="false" outlineLevel="0" collapsed="false">
      <c r="A313" s="12" t="s">
        <v>965</v>
      </c>
      <c r="B313" s="12" t="s">
        <v>258</v>
      </c>
      <c r="C313" s="12" t="s">
        <v>250</v>
      </c>
      <c r="D313" s="12" t="s">
        <v>67</v>
      </c>
      <c r="E313" s="12" t="s">
        <v>392</v>
      </c>
      <c r="F313" s="12" t="s">
        <v>393</v>
      </c>
      <c r="G313" s="12" t="n">
        <v>6</v>
      </c>
      <c r="H313" s="12" t="n">
        <v>0</v>
      </c>
      <c r="I313" s="12" t="n">
        <v>1</v>
      </c>
      <c r="J313" s="12" t="s">
        <v>113</v>
      </c>
      <c r="K313" s="12" t="s">
        <v>388</v>
      </c>
      <c r="L313" s="12" t="s">
        <v>389</v>
      </c>
    </row>
    <row r="314" customFormat="false" ht="15" hidden="false" customHeight="false" outlineLevel="0" collapsed="false">
      <c r="A314" s="12" t="s">
        <v>966</v>
      </c>
      <c r="B314" s="12" t="s">
        <v>258</v>
      </c>
      <c r="C314" s="12" t="s">
        <v>250</v>
      </c>
      <c r="D314" s="12" t="s">
        <v>67</v>
      </c>
      <c r="E314" s="12" t="s">
        <v>396</v>
      </c>
      <c r="F314" s="12" t="s">
        <v>397</v>
      </c>
      <c r="G314" s="12" t="n">
        <v>4</v>
      </c>
      <c r="H314" s="12" t="n">
        <v>0</v>
      </c>
      <c r="I314" s="12" t="n">
        <v>1</v>
      </c>
      <c r="J314" s="12" t="s">
        <v>113</v>
      </c>
      <c r="K314" s="12" t="s">
        <v>388</v>
      </c>
      <c r="L314" s="12" t="s">
        <v>389</v>
      </c>
    </row>
    <row r="315" customFormat="false" ht="15" hidden="false" customHeight="false" outlineLevel="0" collapsed="false">
      <c r="A315" s="12" t="s">
        <v>967</v>
      </c>
      <c r="B315" s="12" t="s">
        <v>258</v>
      </c>
      <c r="C315" s="12" t="s">
        <v>250</v>
      </c>
      <c r="D315" s="12" t="s">
        <v>67</v>
      </c>
      <c r="E315" s="12" t="s">
        <v>400</v>
      </c>
      <c r="F315" s="12" t="s">
        <v>401</v>
      </c>
      <c r="G315" s="12" t="n">
        <v>7</v>
      </c>
      <c r="H315" s="12" t="n">
        <v>0</v>
      </c>
      <c r="I315" s="12" t="n">
        <v>2</v>
      </c>
      <c r="J315" s="12" t="s">
        <v>113</v>
      </c>
      <c r="K315" s="12" t="s">
        <v>388</v>
      </c>
      <c r="L315" s="12" t="s">
        <v>389</v>
      </c>
    </row>
    <row r="316" customFormat="false" ht="15" hidden="false" customHeight="false" outlineLevel="0" collapsed="false">
      <c r="A316" s="12" t="s">
        <v>968</v>
      </c>
      <c r="B316" s="12" t="s">
        <v>258</v>
      </c>
      <c r="C316" s="12" t="s">
        <v>250</v>
      </c>
      <c r="D316" s="12" t="s">
        <v>67</v>
      </c>
      <c r="E316" s="12" t="s">
        <v>408</v>
      </c>
      <c r="F316" s="12" t="s">
        <v>409</v>
      </c>
      <c r="G316" s="12" t="n">
        <v>6</v>
      </c>
      <c r="H316" s="12" t="n">
        <v>0</v>
      </c>
      <c r="I316" s="12" t="n">
        <v>1</v>
      </c>
      <c r="J316" s="12" t="s">
        <v>113</v>
      </c>
      <c r="K316" s="12" t="s">
        <v>388</v>
      </c>
      <c r="L316" s="12" t="s">
        <v>389</v>
      </c>
    </row>
    <row r="317" customFormat="false" ht="15" hidden="false" customHeight="false" outlineLevel="0" collapsed="false">
      <c r="A317" s="12" t="s">
        <v>969</v>
      </c>
      <c r="B317" s="12" t="s">
        <v>258</v>
      </c>
      <c r="C317" s="12" t="s">
        <v>250</v>
      </c>
      <c r="D317" s="12" t="s">
        <v>67</v>
      </c>
      <c r="E317" s="12" t="s">
        <v>412</v>
      </c>
      <c r="F317" s="12" t="s">
        <v>413</v>
      </c>
      <c r="G317" s="12" t="n">
        <v>6</v>
      </c>
      <c r="H317" s="12" t="n">
        <v>0</v>
      </c>
      <c r="I317" s="12" t="n">
        <v>1</v>
      </c>
      <c r="J317" s="12" t="s">
        <v>113</v>
      </c>
      <c r="K317" s="12" t="s">
        <v>388</v>
      </c>
      <c r="L317" s="12" t="s">
        <v>389</v>
      </c>
    </row>
    <row r="318" customFormat="false" ht="15" hidden="false" customHeight="false" outlineLevel="0" collapsed="false">
      <c r="A318" s="12" t="s">
        <v>970</v>
      </c>
      <c r="B318" s="12" t="s">
        <v>258</v>
      </c>
      <c r="C318" s="12" t="s">
        <v>250</v>
      </c>
      <c r="D318" s="12" t="s">
        <v>67</v>
      </c>
      <c r="E318" s="12" t="s">
        <v>414</v>
      </c>
      <c r="F318" s="12" t="s">
        <v>415</v>
      </c>
      <c r="G318" s="12" t="n">
        <v>2</v>
      </c>
      <c r="H318" s="12" t="n">
        <v>1</v>
      </c>
      <c r="I318" s="12" t="n">
        <v>2</v>
      </c>
      <c r="J318" s="12" t="s">
        <v>113</v>
      </c>
      <c r="K318" s="12" t="s">
        <v>417</v>
      </c>
      <c r="L318" s="12" t="s">
        <v>418</v>
      </c>
    </row>
    <row r="319" customFormat="false" ht="15" hidden="false" customHeight="false" outlineLevel="0" collapsed="false">
      <c r="A319" s="12" t="s">
        <v>971</v>
      </c>
      <c r="B319" s="12" t="s">
        <v>258</v>
      </c>
      <c r="C319" s="12" t="s">
        <v>250</v>
      </c>
      <c r="D319" s="12" t="s">
        <v>67</v>
      </c>
      <c r="E319" s="12" t="s">
        <v>453</v>
      </c>
      <c r="F319" s="12" t="s">
        <v>454</v>
      </c>
      <c r="G319" s="12" t="n">
        <v>2</v>
      </c>
      <c r="H319" s="12" t="n">
        <v>0</v>
      </c>
      <c r="I319" s="12" t="n">
        <v>1</v>
      </c>
      <c r="J319" s="12" t="s">
        <v>118</v>
      </c>
      <c r="K319" s="12" t="s">
        <v>456</v>
      </c>
      <c r="L319" s="12" t="s">
        <v>389</v>
      </c>
    </row>
    <row r="320" customFormat="false" ht="15" hidden="false" customHeight="false" outlineLevel="0" collapsed="false">
      <c r="A320" s="12" t="s">
        <v>972</v>
      </c>
      <c r="B320" s="12" t="s">
        <v>258</v>
      </c>
      <c r="C320" s="12" t="s">
        <v>250</v>
      </c>
      <c r="D320" s="12" t="s">
        <v>67</v>
      </c>
      <c r="E320" s="12" t="s">
        <v>458</v>
      </c>
      <c r="F320" s="12" t="s">
        <v>459</v>
      </c>
      <c r="G320" s="12" t="n">
        <v>1</v>
      </c>
      <c r="H320" s="12" t="n">
        <v>0</v>
      </c>
      <c r="I320" s="12" t="n">
        <v>1</v>
      </c>
      <c r="J320" s="12" t="s">
        <v>118</v>
      </c>
      <c r="K320" s="12" t="s">
        <v>460</v>
      </c>
      <c r="L320" s="12" t="s">
        <v>389</v>
      </c>
    </row>
    <row r="321" customFormat="false" ht="15" hidden="false" customHeight="false" outlineLevel="0" collapsed="false">
      <c r="A321" s="12" t="s">
        <v>973</v>
      </c>
      <c r="B321" s="12" t="s">
        <v>258</v>
      </c>
      <c r="C321" s="12" t="s">
        <v>250</v>
      </c>
      <c r="D321" s="12" t="s">
        <v>67</v>
      </c>
      <c r="E321" s="12" t="s">
        <v>463</v>
      </c>
      <c r="F321" s="12" t="s">
        <v>464</v>
      </c>
      <c r="G321" s="12" t="n">
        <v>1</v>
      </c>
      <c r="H321" s="12" t="n">
        <v>0</v>
      </c>
      <c r="I321" s="12" t="n">
        <v>1</v>
      </c>
      <c r="J321" s="12" t="s">
        <v>118</v>
      </c>
      <c r="K321" s="12" t="s">
        <v>465</v>
      </c>
      <c r="L321" s="12" t="s">
        <v>418</v>
      </c>
    </row>
    <row r="322" customFormat="false" ht="15" hidden="false" customHeight="false" outlineLevel="0" collapsed="false">
      <c r="A322" s="12" t="s">
        <v>974</v>
      </c>
      <c r="B322" s="12" t="s">
        <v>258</v>
      </c>
      <c r="C322" s="12" t="s">
        <v>250</v>
      </c>
      <c r="D322" s="12" t="s">
        <v>67</v>
      </c>
      <c r="E322" s="12" t="s">
        <v>468</v>
      </c>
      <c r="F322" s="12" t="s">
        <v>469</v>
      </c>
      <c r="G322" s="12" t="n">
        <v>4</v>
      </c>
      <c r="H322" s="12" t="n">
        <v>0</v>
      </c>
      <c r="I322" s="12" t="n">
        <v>1</v>
      </c>
      <c r="J322" s="12" t="s">
        <v>118</v>
      </c>
      <c r="K322" s="12" t="s">
        <v>470</v>
      </c>
      <c r="L322" s="12" t="s">
        <v>418</v>
      </c>
    </row>
    <row r="323" customFormat="false" ht="15" hidden="false" customHeight="false" outlineLevel="0" collapsed="false">
      <c r="A323" s="12" t="s">
        <v>975</v>
      </c>
      <c r="B323" s="12" t="s">
        <v>258</v>
      </c>
      <c r="C323" s="12" t="s">
        <v>250</v>
      </c>
      <c r="D323" s="12" t="s">
        <v>67</v>
      </c>
      <c r="E323" s="12" t="s">
        <v>472</v>
      </c>
      <c r="F323" s="12" t="s">
        <v>473</v>
      </c>
      <c r="G323" s="12" t="n">
        <v>1</v>
      </c>
      <c r="H323" s="12" t="n">
        <v>0</v>
      </c>
      <c r="I323" s="12" t="n">
        <v>1</v>
      </c>
      <c r="J323" s="12" t="s">
        <v>118</v>
      </c>
      <c r="K323" s="12" t="s">
        <v>474</v>
      </c>
      <c r="L323" s="12" t="s">
        <v>418</v>
      </c>
    </row>
    <row r="324" customFormat="false" ht="15" hidden="false" customHeight="false" outlineLevel="0" collapsed="false">
      <c r="A324" s="12" t="s">
        <v>976</v>
      </c>
      <c r="B324" s="12" t="s">
        <v>258</v>
      </c>
      <c r="C324" s="12" t="s">
        <v>250</v>
      </c>
      <c r="D324" s="12" t="s">
        <v>67</v>
      </c>
      <c r="E324" s="12" t="s">
        <v>478</v>
      </c>
      <c r="F324" s="12" t="s">
        <v>479</v>
      </c>
      <c r="G324" s="12" t="n">
        <v>1</v>
      </c>
      <c r="H324" s="12" t="n">
        <v>0</v>
      </c>
      <c r="I324" s="12" t="n">
        <v>1</v>
      </c>
      <c r="J324" s="12" t="s">
        <v>480</v>
      </c>
      <c r="K324" s="12" t="s">
        <v>388</v>
      </c>
      <c r="L324" s="12" t="s">
        <v>389</v>
      </c>
    </row>
    <row r="325" customFormat="false" ht="15" hidden="false" customHeight="false" outlineLevel="0" collapsed="false">
      <c r="A325" s="12" t="s">
        <v>977</v>
      </c>
      <c r="B325" s="12" t="s">
        <v>262</v>
      </c>
      <c r="C325" s="12" t="s">
        <v>250</v>
      </c>
      <c r="D325" s="12" t="s">
        <v>67</v>
      </c>
      <c r="E325" s="12" t="s">
        <v>384</v>
      </c>
      <c r="F325" s="12" t="s">
        <v>385</v>
      </c>
      <c r="G325" s="12" t="n">
        <v>7</v>
      </c>
      <c r="H325" s="12" t="n">
        <v>0</v>
      </c>
      <c r="I325" s="12" t="n">
        <v>2</v>
      </c>
      <c r="J325" s="12" t="s">
        <v>113</v>
      </c>
      <c r="K325" s="12" t="s">
        <v>388</v>
      </c>
      <c r="L325" s="12" t="s">
        <v>389</v>
      </c>
    </row>
    <row r="326" customFormat="false" ht="15" hidden="false" customHeight="false" outlineLevel="0" collapsed="false">
      <c r="A326" s="12" t="s">
        <v>978</v>
      </c>
      <c r="B326" s="12" t="s">
        <v>262</v>
      </c>
      <c r="C326" s="12" t="s">
        <v>250</v>
      </c>
      <c r="D326" s="12" t="s">
        <v>67</v>
      </c>
      <c r="E326" s="12" t="s">
        <v>392</v>
      </c>
      <c r="F326" s="12" t="s">
        <v>393</v>
      </c>
      <c r="G326" s="12" t="n">
        <v>6</v>
      </c>
      <c r="H326" s="12" t="n">
        <v>0</v>
      </c>
      <c r="I326" s="12" t="n">
        <v>1</v>
      </c>
      <c r="J326" s="12" t="s">
        <v>113</v>
      </c>
      <c r="K326" s="12" t="s">
        <v>388</v>
      </c>
      <c r="L326" s="12" t="s">
        <v>389</v>
      </c>
    </row>
    <row r="327" customFormat="false" ht="15" hidden="false" customHeight="false" outlineLevel="0" collapsed="false">
      <c r="A327" s="12" t="s">
        <v>979</v>
      </c>
      <c r="B327" s="12" t="s">
        <v>262</v>
      </c>
      <c r="C327" s="12" t="s">
        <v>250</v>
      </c>
      <c r="D327" s="12" t="s">
        <v>67</v>
      </c>
      <c r="E327" s="12" t="s">
        <v>396</v>
      </c>
      <c r="F327" s="12" t="s">
        <v>397</v>
      </c>
      <c r="G327" s="12" t="n">
        <v>4</v>
      </c>
      <c r="H327" s="12" t="n">
        <v>0</v>
      </c>
      <c r="I327" s="12" t="n">
        <v>1</v>
      </c>
      <c r="J327" s="12" t="s">
        <v>113</v>
      </c>
      <c r="K327" s="12" t="s">
        <v>388</v>
      </c>
      <c r="L327" s="12" t="s">
        <v>389</v>
      </c>
    </row>
    <row r="328" customFormat="false" ht="15" hidden="false" customHeight="false" outlineLevel="0" collapsed="false">
      <c r="A328" s="12" t="s">
        <v>980</v>
      </c>
      <c r="B328" s="12" t="s">
        <v>262</v>
      </c>
      <c r="C328" s="12" t="s">
        <v>250</v>
      </c>
      <c r="D328" s="12" t="s">
        <v>67</v>
      </c>
      <c r="E328" s="12" t="s">
        <v>400</v>
      </c>
      <c r="F328" s="12" t="s">
        <v>401</v>
      </c>
      <c r="G328" s="12" t="n">
        <v>7</v>
      </c>
      <c r="H328" s="12" t="n">
        <v>0</v>
      </c>
      <c r="I328" s="12" t="n">
        <v>2</v>
      </c>
      <c r="J328" s="12" t="s">
        <v>113</v>
      </c>
      <c r="K328" s="12" t="s">
        <v>388</v>
      </c>
      <c r="L328" s="12" t="s">
        <v>389</v>
      </c>
    </row>
    <row r="329" customFormat="false" ht="15" hidden="false" customHeight="false" outlineLevel="0" collapsed="false">
      <c r="A329" s="12" t="s">
        <v>981</v>
      </c>
      <c r="B329" s="12" t="s">
        <v>262</v>
      </c>
      <c r="C329" s="12" t="s">
        <v>250</v>
      </c>
      <c r="D329" s="12" t="s">
        <v>67</v>
      </c>
      <c r="E329" s="12" t="s">
        <v>408</v>
      </c>
      <c r="F329" s="12" t="s">
        <v>409</v>
      </c>
      <c r="G329" s="12" t="n">
        <v>6</v>
      </c>
      <c r="H329" s="12" t="n">
        <v>0</v>
      </c>
      <c r="I329" s="12" t="n">
        <v>1</v>
      </c>
      <c r="J329" s="12" t="s">
        <v>113</v>
      </c>
      <c r="K329" s="12" t="s">
        <v>388</v>
      </c>
      <c r="L329" s="12" t="s">
        <v>389</v>
      </c>
    </row>
    <row r="330" customFormat="false" ht="15" hidden="false" customHeight="false" outlineLevel="0" collapsed="false">
      <c r="A330" s="12" t="s">
        <v>982</v>
      </c>
      <c r="B330" s="12" t="s">
        <v>262</v>
      </c>
      <c r="C330" s="12" t="s">
        <v>250</v>
      </c>
      <c r="D330" s="12" t="s">
        <v>67</v>
      </c>
      <c r="E330" s="12" t="s">
        <v>412</v>
      </c>
      <c r="F330" s="12" t="s">
        <v>413</v>
      </c>
      <c r="G330" s="12" t="n">
        <v>6</v>
      </c>
      <c r="H330" s="12" t="n">
        <v>0</v>
      </c>
      <c r="I330" s="12" t="n">
        <v>1</v>
      </c>
      <c r="J330" s="12" t="s">
        <v>113</v>
      </c>
      <c r="K330" s="12" t="s">
        <v>388</v>
      </c>
      <c r="L330" s="12" t="s">
        <v>389</v>
      </c>
    </row>
    <row r="331" customFormat="false" ht="15" hidden="false" customHeight="false" outlineLevel="0" collapsed="false">
      <c r="A331" s="12" t="s">
        <v>983</v>
      </c>
      <c r="B331" s="12" t="s">
        <v>262</v>
      </c>
      <c r="C331" s="12" t="s">
        <v>250</v>
      </c>
      <c r="D331" s="12" t="s">
        <v>67</v>
      </c>
      <c r="E331" s="12" t="s">
        <v>414</v>
      </c>
      <c r="F331" s="12" t="s">
        <v>415</v>
      </c>
      <c r="G331" s="12" t="n">
        <v>2</v>
      </c>
      <c r="H331" s="12" t="n">
        <v>1</v>
      </c>
      <c r="I331" s="12" t="n">
        <v>2</v>
      </c>
      <c r="J331" s="12" t="s">
        <v>113</v>
      </c>
      <c r="K331" s="12" t="s">
        <v>417</v>
      </c>
      <c r="L331" s="12" t="s">
        <v>418</v>
      </c>
    </row>
    <row r="332" customFormat="false" ht="15" hidden="false" customHeight="false" outlineLevel="0" collapsed="false">
      <c r="A332" s="12" t="s">
        <v>984</v>
      </c>
      <c r="B332" s="12" t="s">
        <v>262</v>
      </c>
      <c r="C332" s="12" t="s">
        <v>250</v>
      </c>
      <c r="D332" s="12" t="s">
        <v>67</v>
      </c>
      <c r="E332" s="12" t="s">
        <v>453</v>
      </c>
      <c r="F332" s="12" t="s">
        <v>454</v>
      </c>
      <c r="G332" s="12" t="n">
        <v>2</v>
      </c>
      <c r="H332" s="12" t="n">
        <v>0</v>
      </c>
      <c r="I332" s="12" t="n">
        <v>1</v>
      </c>
      <c r="J332" s="12" t="s">
        <v>118</v>
      </c>
      <c r="K332" s="12" t="s">
        <v>456</v>
      </c>
      <c r="L332" s="12" t="s">
        <v>389</v>
      </c>
    </row>
    <row r="333" customFormat="false" ht="15" hidden="false" customHeight="false" outlineLevel="0" collapsed="false">
      <c r="A333" s="12" t="s">
        <v>985</v>
      </c>
      <c r="B333" s="12" t="s">
        <v>262</v>
      </c>
      <c r="C333" s="12" t="s">
        <v>250</v>
      </c>
      <c r="D333" s="12" t="s">
        <v>67</v>
      </c>
      <c r="E333" s="12" t="s">
        <v>458</v>
      </c>
      <c r="F333" s="12" t="s">
        <v>459</v>
      </c>
      <c r="G333" s="12" t="n">
        <v>1</v>
      </c>
      <c r="H333" s="12" t="n">
        <v>0</v>
      </c>
      <c r="I333" s="12" t="n">
        <v>1</v>
      </c>
      <c r="J333" s="12" t="s">
        <v>118</v>
      </c>
      <c r="K333" s="12" t="s">
        <v>460</v>
      </c>
      <c r="L333" s="12" t="s">
        <v>389</v>
      </c>
    </row>
    <row r="334" customFormat="false" ht="15" hidden="false" customHeight="false" outlineLevel="0" collapsed="false">
      <c r="A334" s="12" t="s">
        <v>986</v>
      </c>
      <c r="B334" s="12" t="s">
        <v>262</v>
      </c>
      <c r="C334" s="12" t="s">
        <v>250</v>
      </c>
      <c r="D334" s="12" t="s">
        <v>67</v>
      </c>
      <c r="E334" s="12" t="s">
        <v>463</v>
      </c>
      <c r="F334" s="12" t="s">
        <v>464</v>
      </c>
      <c r="G334" s="12" t="n">
        <v>1</v>
      </c>
      <c r="H334" s="12" t="n">
        <v>0</v>
      </c>
      <c r="I334" s="12" t="n">
        <v>1</v>
      </c>
      <c r="J334" s="12" t="s">
        <v>118</v>
      </c>
      <c r="K334" s="12" t="s">
        <v>465</v>
      </c>
      <c r="L334" s="12" t="s">
        <v>418</v>
      </c>
    </row>
    <row r="335" customFormat="false" ht="15" hidden="false" customHeight="false" outlineLevel="0" collapsed="false">
      <c r="A335" s="12" t="s">
        <v>987</v>
      </c>
      <c r="B335" s="12" t="s">
        <v>262</v>
      </c>
      <c r="C335" s="12" t="s">
        <v>250</v>
      </c>
      <c r="D335" s="12" t="s">
        <v>67</v>
      </c>
      <c r="E335" s="12" t="s">
        <v>468</v>
      </c>
      <c r="F335" s="12" t="s">
        <v>469</v>
      </c>
      <c r="G335" s="12" t="n">
        <v>4</v>
      </c>
      <c r="H335" s="12" t="n">
        <v>0</v>
      </c>
      <c r="I335" s="12" t="n">
        <v>1</v>
      </c>
      <c r="J335" s="12" t="s">
        <v>118</v>
      </c>
      <c r="K335" s="12" t="s">
        <v>470</v>
      </c>
      <c r="L335" s="12" t="s">
        <v>418</v>
      </c>
    </row>
    <row r="336" customFormat="false" ht="15" hidden="false" customHeight="false" outlineLevel="0" collapsed="false">
      <c r="A336" s="12" t="s">
        <v>988</v>
      </c>
      <c r="B336" s="12" t="s">
        <v>262</v>
      </c>
      <c r="C336" s="12" t="s">
        <v>250</v>
      </c>
      <c r="D336" s="12" t="s">
        <v>67</v>
      </c>
      <c r="E336" s="12" t="s">
        <v>472</v>
      </c>
      <c r="F336" s="12" t="s">
        <v>473</v>
      </c>
      <c r="G336" s="12" t="n">
        <v>1</v>
      </c>
      <c r="H336" s="12" t="n">
        <v>0</v>
      </c>
      <c r="I336" s="12" t="n">
        <v>1</v>
      </c>
      <c r="J336" s="12" t="s">
        <v>118</v>
      </c>
      <c r="K336" s="12" t="s">
        <v>474</v>
      </c>
      <c r="L336" s="12" t="s">
        <v>418</v>
      </c>
    </row>
    <row r="337" customFormat="false" ht="15" hidden="false" customHeight="false" outlineLevel="0" collapsed="false">
      <c r="A337" s="12" t="s">
        <v>989</v>
      </c>
      <c r="B337" s="12" t="s">
        <v>262</v>
      </c>
      <c r="C337" s="12" t="s">
        <v>250</v>
      </c>
      <c r="D337" s="12" t="s">
        <v>67</v>
      </c>
      <c r="E337" s="12" t="s">
        <v>478</v>
      </c>
      <c r="F337" s="12" t="s">
        <v>479</v>
      </c>
      <c r="G337" s="12" t="n">
        <v>1</v>
      </c>
      <c r="H337" s="12" t="n">
        <v>0</v>
      </c>
      <c r="I337" s="12" t="n">
        <v>1</v>
      </c>
      <c r="J337" s="12" t="s">
        <v>480</v>
      </c>
      <c r="K337" s="12" t="s">
        <v>388</v>
      </c>
      <c r="L337" s="12" t="s">
        <v>389</v>
      </c>
    </row>
    <row r="338" customFormat="false" ht="15" hidden="false" customHeight="false" outlineLevel="0" collapsed="false">
      <c r="A338" s="12" t="s">
        <v>990</v>
      </c>
      <c r="B338" s="12" t="s">
        <v>266</v>
      </c>
      <c r="C338" s="12" t="s">
        <v>267</v>
      </c>
      <c r="D338" s="12" t="s">
        <v>67</v>
      </c>
      <c r="E338" s="12" t="s">
        <v>384</v>
      </c>
      <c r="F338" s="12" t="s">
        <v>385</v>
      </c>
      <c r="G338" s="12" t="n">
        <v>7</v>
      </c>
      <c r="H338" s="12" t="n">
        <v>0</v>
      </c>
      <c r="I338" s="12" t="n">
        <v>2</v>
      </c>
      <c r="J338" s="12" t="s">
        <v>113</v>
      </c>
      <c r="K338" s="12" t="s">
        <v>388</v>
      </c>
      <c r="L338" s="12" t="s">
        <v>389</v>
      </c>
    </row>
    <row r="339" customFormat="false" ht="15" hidden="false" customHeight="false" outlineLevel="0" collapsed="false">
      <c r="A339" s="12" t="s">
        <v>991</v>
      </c>
      <c r="B339" s="12" t="s">
        <v>266</v>
      </c>
      <c r="C339" s="12" t="s">
        <v>267</v>
      </c>
      <c r="D339" s="12" t="s">
        <v>67</v>
      </c>
      <c r="E339" s="12" t="s">
        <v>392</v>
      </c>
      <c r="F339" s="12" t="s">
        <v>393</v>
      </c>
      <c r="G339" s="12" t="n">
        <v>6</v>
      </c>
      <c r="H339" s="12" t="n">
        <v>0</v>
      </c>
      <c r="I339" s="12" t="n">
        <v>1</v>
      </c>
      <c r="J339" s="12" t="s">
        <v>113</v>
      </c>
      <c r="K339" s="12" t="s">
        <v>388</v>
      </c>
      <c r="L339" s="12" t="s">
        <v>389</v>
      </c>
    </row>
    <row r="340" customFormat="false" ht="15" hidden="false" customHeight="false" outlineLevel="0" collapsed="false">
      <c r="A340" s="12" t="s">
        <v>992</v>
      </c>
      <c r="B340" s="12" t="s">
        <v>266</v>
      </c>
      <c r="C340" s="12" t="s">
        <v>267</v>
      </c>
      <c r="D340" s="12" t="s">
        <v>67</v>
      </c>
      <c r="E340" s="12" t="s">
        <v>396</v>
      </c>
      <c r="F340" s="12" t="s">
        <v>397</v>
      </c>
      <c r="G340" s="12" t="n">
        <v>4</v>
      </c>
      <c r="H340" s="12" t="n">
        <v>0</v>
      </c>
      <c r="I340" s="12" t="n">
        <v>1</v>
      </c>
      <c r="J340" s="12" t="s">
        <v>113</v>
      </c>
      <c r="K340" s="12" t="s">
        <v>388</v>
      </c>
      <c r="L340" s="12" t="s">
        <v>389</v>
      </c>
    </row>
    <row r="341" customFormat="false" ht="15" hidden="false" customHeight="false" outlineLevel="0" collapsed="false">
      <c r="A341" s="12" t="s">
        <v>993</v>
      </c>
      <c r="B341" s="12" t="s">
        <v>266</v>
      </c>
      <c r="C341" s="12" t="s">
        <v>267</v>
      </c>
      <c r="D341" s="12" t="s">
        <v>67</v>
      </c>
      <c r="E341" s="12" t="s">
        <v>400</v>
      </c>
      <c r="F341" s="12" t="s">
        <v>401</v>
      </c>
      <c r="G341" s="12" t="n">
        <v>7</v>
      </c>
      <c r="H341" s="12" t="n">
        <v>0</v>
      </c>
      <c r="I341" s="12" t="n">
        <v>2</v>
      </c>
      <c r="J341" s="12" t="s">
        <v>113</v>
      </c>
      <c r="K341" s="12" t="s">
        <v>388</v>
      </c>
      <c r="L341" s="12" t="s">
        <v>389</v>
      </c>
    </row>
    <row r="342" customFormat="false" ht="15" hidden="false" customHeight="false" outlineLevel="0" collapsed="false">
      <c r="A342" s="12" t="s">
        <v>994</v>
      </c>
      <c r="B342" s="12" t="s">
        <v>266</v>
      </c>
      <c r="C342" s="12" t="s">
        <v>267</v>
      </c>
      <c r="D342" s="12" t="s">
        <v>67</v>
      </c>
      <c r="E342" s="12" t="s">
        <v>408</v>
      </c>
      <c r="F342" s="12" t="s">
        <v>409</v>
      </c>
      <c r="G342" s="12" t="n">
        <v>6</v>
      </c>
      <c r="H342" s="12" t="n">
        <v>0</v>
      </c>
      <c r="I342" s="12" t="n">
        <v>1</v>
      </c>
      <c r="J342" s="12" t="s">
        <v>113</v>
      </c>
      <c r="K342" s="12" t="s">
        <v>388</v>
      </c>
      <c r="L342" s="12" t="s">
        <v>389</v>
      </c>
    </row>
    <row r="343" customFormat="false" ht="15" hidden="false" customHeight="false" outlineLevel="0" collapsed="false">
      <c r="A343" s="12" t="s">
        <v>995</v>
      </c>
      <c r="B343" s="12" t="s">
        <v>266</v>
      </c>
      <c r="C343" s="12" t="s">
        <v>267</v>
      </c>
      <c r="D343" s="12" t="s">
        <v>67</v>
      </c>
      <c r="E343" s="12" t="s">
        <v>412</v>
      </c>
      <c r="F343" s="12" t="s">
        <v>413</v>
      </c>
      <c r="G343" s="12" t="n">
        <v>6</v>
      </c>
      <c r="H343" s="12" t="n">
        <v>0</v>
      </c>
      <c r="I343" s="12" t="n">
        <v>1</v>
      </c>
      <c r="J343" s="12" t="s">
        <v>113</v>
      </c>
      <c r="K343" s="12" t="s">
        <v>388</v>
      </c>
      <c r="L343" s="12" t="s">
        <v>389</v>
      </c>
    </row>
    <row r="344" customFormat="false" ht="15" hidden="false" customHeight="false" outlineLevel="0" collapsed="false">
      <c r="A344" s="12" t="s">
        <v>996</v>
      </c>
      <c r="B344" s="12" t="s">
        <v>266</v>
      </c>
      <c r="C344" s="12" t="s">
        <v>267</v>
      </c>
      <c r="D344" s="12" t="s">
        <v>67</v>
      </c>
      <c r="E344" s="12" t="s">
        <v>414</v>
      </c>
      <c r="F344" s="12" t="s">
        <v>415</v>
      </c>
      <c r="G344" s="12" t="n">
        <v>2</v>
      </c>
      <c r="H344" s="12" t="n">
        <v>1</v>
      </c>
      <c r="I344" s="12" t="n">
        <v>2</v>
      </c>
      <c r="J344" s="12" t="s">
        <v>113</v>
      </c>
      <c r="K344" s="12" t="s">
        <v>417</v>
      </c>
      <c r="L344" s="12" t="s">
        <v>418</v>
      </c>
    </row>
    <row r="345" customFormat="false" ht="15" hidden="false" customHeight="false" outlineLevel="0" collapsed="false">
      <c r="A345" s="12" t="s">
        <v>997</v>
      </c>
      <c r="B345" s="12" t="s">
        <v>266</v>
      </c>
      <c r="C345" s="12" t="s">
        <v>267</v>
      </c>
      <c r="D345" s="12" t="s">
        <v>67</v>
      </c>
      <c r="E345" s="12" t="s">
        <v>453</v>
      </c>
      <c r="F345" s="12" t="s">
        <v>454</v>
      </c>
      <c r="G345" s="12" t="n">
        <v>2</v>
      </c>
      <c r="H345" s="12" t="n">
        <v>0</v>
      </c>
      <c r="I345" s="12" t="n">
        <v>1</v>
      </c>
      <c r="J345" s="12" t="s">
        <v>118</v>
      </c>
      <c r="K345" s="12" t="s">
        <v>456</v>
      </c>
      <c r="L345" s="12" t="s">
        <v>389</v>
      </c>
    </row>
    <row r="346" customFormat="false" ht="15" hidden="false" customHeight="false" outlineLevel="0" collapsed="false">
      <c r="A346" s="12" t="s">
        <v>998</v>
      </c>
      <c r="B346" s="12" t="s">
        <v>266</v>
      </c>
      <c r="C346" s="12" t="s">
        <v>267</v>
      </c>
      <c r="D346" s="12" t="s">
        <v>67</v>
      </c>
      <c r="E346" s="12" t="s">
        <v>458</v>
      </c>
      <c r="F346" s="12" t="s">
        <v>459</v>
      </c>
      <c r="G346" s="12" t="n">
        <v>1</v>
      </c>
      <c r="H346" s="12" t="n">
        <v>0</v>
      </c>
      <c r="I346" s="12" t="n">
        <v>1</v>
      </c>
      <c r="J346" s="12" t="s">
        <v>118</v>
      </c>
      <c r="K346" s="12" t="s">
        <v>460</v>
      </c>
      <c r="L346" s="12" t="s">
        <v>389</v>
      </c>
    </row>
    <row r="347" customFormat="false" ht="15" hidden="false" customHeight="false" outlineLevel="0" collapsed="false">
      <c r="A347" s="12" t="s">
        <v>999</v>
      </c>
      <c r="B347" s="12" t="s">
        <v>266</v>
      </c>
      <c r="C347" s="12" t="s">
        <v>267</v>
      </c>
      <c r="D347" s="12" t="s">
        <v>67</v>
      </c>
      <c r="E347" s="12" t="s">
        <v>463</v>
      </c>
      <c r="F347" s="12" t="s">
        <v>464</v>
      </c>
      <c r="G347" s="12" t="n">
        <v>1</v>
      </c>
      <c r="H347" s="12" t="n">
        <v>0</v>
      </c>
      <c r="I347" s="12" t="n">
        <v>1</v>
      </c>
      <c r="J347" s="12" t="s">
        <v>118</v>
      </c>
      <c r="K347" s="12" t="s">
        <v>465</v>
      </c>
      <c r="L347" s="12" t="s">
        <v>418</v>
      </c>
    </row>
    <row r="348" customFormat="false" ht="15" hidden="false" customHeight="false" outlineLevel="0" collapsed="false">
      <c r="A348" s="12" t="s">
        <v>1000</v>
      </c>
      <c r="B348" s="12" t="s">
        <v>266</v>
      </c>
      <c r="C348" s="12" t="s">
        <v>267</v>
      </c>
      <c r="D348" s="12" t="s">
        <v>67</v>
      </c>
      <c r="E348" s="12" t="s">
        <v>468</v>
      </c>
      <c r="F348" s="12" t="s">
        <v>469</v>
      </c>
      <c r="G348" s="12" t="n">
        <v>4</v>
      </c>
      <c r="H348" s="12" t="n">
        <v>0</v>
      </c>
      <c r="I348" s="12" t="n">
        <v>1</v>
      </c>
      <c r="J348" s="12" t="s">
        <v>118</v>
      </c>
      <c r="K348" s="12" t="s">
        <v>470</v>
      </c>
      <c r="L348" s="12" t="s">
        <v>418</v>
      </c>
    </row>
    <row r="349" customFormat="false" ht="15" hidden="false" customHeight="false" outlineLevel="0" collapsed="false">
      <c r="A349" s="12" t="s">
        <v>1001</v>
      </c>
      <c r="B349" s="12" t="s">
        <v>266</v>
      </c>
      <c r="C349" s="12" t="s">
        <v>267</v>
      </c>
      <c r="D349" s="12" t="s">
        <v>67</v>
      </c>
      <c r="E349" s="12" t="s">
        <v>472</v>
      </c>
      <c r="F349" s="12" t="s">
        <v>473</v>
      </c>
      <c r="G349" s="12" t="n">
        <v>1</v>
      </c>
      <c r="H349" s="12" t="n">
        <v>0</v>
      </c>
      <c r="I349" s="12" t="n">
        <v>1</v>
      </c>
      <c r="J349" s="12" t="s">
        <v>118</v>
      </c>
      <c r="K349" s="12" t="s">
        <v>474</v>
      </c>
      <c r="L349" s="12" t="s">
        <v>418</v>
      </c>
    </row>
    <row r="350" customFormat="false" ht="15" hidden="false" customHeight="false" outlineLevel="0" collapsed="false">
      <c r="A350" s="12" t="s">
        <v>1002</v>
      </c>
      <c r="B350" s="12" t="s">
        <v>266</v>
      </c>
      <c r="C350" s="12" t="s">
        <v>267</v>
      </c>
      <c r="D350" s="12" t="s">
        <v>67</v>
      </c>
      <c r="E350" s="12" t="s">
        <v>478</v>
      </c>
      <c r="F350" s="12" t="s">
        <v>479</v>
      </c>
      <c r="G350" s="12" t="n">
        <v>1</v>
      </c>
      <c r="H350" s="12" t="n">
        <v>0</v>
      </c>
      <c r="I350" s="12" t="n">
        <v>1</v>
      </c>
      <c r="J350" s="12" t="s">
        <v>480</v>
      </c>
      <c r="K350" s="12" t="s">
        <v>388</v>
      </c>
      <c r="L350" s="12" t="s">
        <v>389</v>
      </c>
    </row>
    <row r="351" customFormat="false" ht="15" hidden="false" customHeight="false" outlineLevel="0" collapsed="false">
      <c r="A351" s="12" t="s">
        <v>1003</v>
      </c>
      <c r="B351" s="12" t="s">
        <v>271</v>
      </c>
      <c r="C351" s="12" t="s">
        <v>267</v>
      </c>
      <c r="D351" s="12" t="s">
        <v>67</v>
      </c>
      <c r="E351" s="12" t="s">
        <v>384</v>
      </c>
      <c r="F351" s="12" t="s">
        <v>385</v>
      </c>
      <c r="G351" s="12" t="n">
        <v>7</v>
      </c>
      <c r="H351" s="12" t="n">
        <v>0</v>
      </c>
      <c r="I351" s="12" t="n">
        <v>2</v>
      </c>
      <c r="J351" s="12" t="s">
        <v>113</v>
      </c>
      <c r="K351" s="12" t="s">
        <v>388</v>
      </c>
      <c r="L351" s="12" t="s">
        <v>389</v>
      </c>
    </row>
    <row r="352" customFormat="false" ht="15" hidden="false" customHeight="false" outlineLevel="0" collapsed="false">
      <c r="A352" s="12" t="s">
        <v>1004</v>
      </c>
      <c r="B352" s="12" t="s">
        <v>271</v>
      </c>
      <c r="C352" s="12" t="s">
        <v>267</v>
      </c>
      <c r="D352" s="12" t="s">
        <v>67</v>
      </c>
      <c r="E352" s="12" t="s">
        <v>392</v>
      </c>
      <c r="F352" s="12" t="s">
        <v>393</v>
      </c>
      <c r="G352" s="12" t="n">
        <v>6</v>
      </c>
      <c r="H352" s="12" t="n">
        <v>0</v>
      </c>
      <c r="I352" s="12" t="n">
        <v>1</v>
      </c>
      <c r="J352" s="12" t="s">
        <v>113</v>
      </c>
      <c r="K352" s="12" t="s">
        <v>388</v>
      </c>
      <c r="L352" s="12" t="s">
        <v>389</v>
      </c>
    </row>
    <row r="353" customFormat="false" ht="15" hidden="false" customHeight="false" outlineLevel="0" collapsed="false">
      <c r="A353" s="12" t="s">
        <v>1005</v>
      </c>
      <c r="B353" s="12" t="s">
        <v>271</v>
      </c>
      <c r="C353" s="12" t="s">
        <v>267</v>
      </c>
      <c r="D353" s="12" t="s">
        <v>67</v>
      </c>
      <c r="E353" s="12" t="s">
        <v>396</v>
      </c>
      <c r="F353" s="12" t="s">
        <v>397</v>
      </c>
      <c r="G353" s="12" t="n">
        <v>4</v>
      </c>
      <c r="H353" s="12" t="n">
        <v>0</v>
      </c>
      <c r="I353" s="12" t="n">
        <v>1</v>
      </c>
      <c r="J353" s="12" t="s">
        <v>113</v>
      </c>
      <c r="K353" s="12" t="s">
        <v>388</v>
      </c>
      <c r="L353" s="12" t="s">
        <v>389</v>
      </c>
    </row>
    <row r="354" customFormat="false" ht="15" hidden="false" customHeight="false" outlineLevel="0" collapsed="false">
      <c r="A354" s="12" t="s">
        <v>1006</v>
      </c>
      <c r="B354" s="12" t="s">
        <v>271</v>
      </c>
      <c r="C354" s="12" t="s">
        <v>267</v>
      </c>
      <c r="D354" s="12" t="s">
        <v>67</v>
      </c>
      <c r="E354" s="12" t="s">
        <v>400</v>
      </c>
      <c r="F354" s="12" t="s">
        <v>401</v>
      </c>
      <c r="G354" s="12" t="n">
        <v>7</v>
      </c>
      <c r="H354" s="12" t="n">
        <v>0</v>
      </c>
      <c r="I354" s="12" t="n">
        <v>2</v>
      </c>
      <c r="J354" s="12" t="s">
        <v>113</v>
      </c>
      <c r="K354" s="12" t="s">
        <v>388</v>
      </c>
      <c r="L354" s="12" t="s">
        <v>389</v>
      </c>
    </row>
    <row r="355" customFormat="false" ht="15" hidden="false" customHeight="false" outlineLevel="0" collapsed="false">
      <c r="A355" s="12" t="s">
        <v>1007</v>
      </c>
      <c r="B355" s="12" t="s">
        <v>271</v>
      </c>
      <c r="C355" s="12" t="s">
        <v>267</v>
      </c>
      <c r="D355" s="12" t="s">
        <v>67</v>
      </c>
      <c r="E355" s="12" t="s">
        <v>408</v>
      </c>
      <c r="F355" s="12" t="s">
        <v>409</v>
      </c>
      <c r="G355" s="12" t="n">
        <v>6</v>
      </c>
      <c r="H355" s="12" t="n">
        <v>0</v>
      </c>
      <c r="I355" s="12" t="n">
        <v>1</v>
      </c>
      <c r="J355" s="12" t="s">
        <v>113</v>
      </c>
      <c r="K355" s="12" t="s">
        <v>388</v>
      </c>
      <c r="L355" s="12" t="s">
        <v>389</v>
      </c>
    </row>
    <row r="356" customFormat="false" ht="15" hidden="false" customHeight="false" outlineLevel="0" collapsed="false">
      <c r="A356" s="12" t="s">
        <v>1008</v>
      </c>
      <c r="B356" s="12" t="s">
        <v>271</v>
      </c>
      <c r="C356" s="12" t="s">
        <v>267</v>
      </c>
      <c r="D356" s="12" t="s">
        <v>67</v>
      </c>
      <c r="E356" s="12" t="s">
        <v>412</v>
      </c>
      <c r="F356" s="12" t="s">
        <v>413</v>
      </c>
      <c r="G356" s="12" t="n">
        <v>6</v>
      </c>
      <c r="H356" s="12" t="n">
        <v>0</v>
      </c>
      <c r="I356" s="12" t="n">
        <v>1</v>
      </c>
      <c r="J356" s="12" t="s">
        <v>113</v>
      </c>
      <c r="K356" s="12" t="s">
        <v>388</v>
      </c>
      <c r="L356" s="12" t="s">
        <v>389</v>
      </c>
    </row>
    <row r="357" customFormat="false" ht="15" hidden="false" customHeight="false" outlineLevel="0" collapsed="false">
      <c r="A357" s="12" t="s">
        <v>1009</v>
      </c>
      <c r="B357" s="12" t="s">
        <v>271</v>
      </c>
      <c r="C357" s="12" t="s">
        <v>267</v>
      </c>
      <c r="D357" s="12" t="s">
        <v>67</v>
      </c>
      <c r="E357" s="12" t="s">
        <v>414</v>
      </c>
      <c r="F357" s="12" t="s">
        <v>415</v>
      </c>
      <c r="G357" s="12" t="n">
        <v>2</v>
      </c>
      <c r="H357" s="12" t="n">
        <v>1</v>
      </c>
      <c r="I357" s="12" t="n">
        <v>2</v>
      </c>
      <c r="J357" s="12" t="s">
        <v>113</v>
      </c>
      <c r="K357" s="12" t="s">
        <v>417</v>
      </c>
      <c r="L357" s="12" t="s">
        <v>418</v>
      </c>
    </row>
    <row r="358" customFormat="false" ht="15" hidden="false" customHeight="false" outlineLevel="0" collapsed="false">
      <c r="A358" s="12" t="s">
        <v>1010</v>
      </c>
      <c r="B358" s="12" t="s">
        <v>271</v>
      </c>
      <c r="C358" s="12" t="s">
        <v>267</v>
      </c>
      <c r="D358" s="12" t="s">
        <v>67</v>
      </c>
      <c r="E358" s="12" t="s">
        <v>453</v>
      </c>
      <c r="F358" s="12" t="s">
        <v>454</v>
      </c>
      <c r="G358" s="12" t="n">
        <v>2</v>
      </c>
      <c r="H358" s="12" t="n">
        <v>0</v>
      </c>
      <c r="I358" s="12" t="n">
        <v>1</v>
      </c>
      <c r="J358" s="12" t="s">
        <v>118</v>
      </c>
      <c r="K358" s="12" t="s">
        <v>456</v>
      </c>
      <c r="L358" s="12" t="s">
        <v>389</v>
      </c>
    </row>
    <row r="359" customFormat="false" ht="15" hidden="false" customHeight="false" outlineLevel="0" collapsed="false">
      <c r="A359" s="12" t="s">
        <v>1011</v>
      </c>
      <c r="B359" s="12" t="s">
        <v>271</v>
      </c>
      <c r="C359" s="12" t="s">
        <v>267</v>
      </c>
      <c r="D359" s="12" t="s">
        <v>67</v>
      </c>
      <c r="E359" s="12" t="s">
        <v>458</v>
      </c>
      <c r="F359" s="12" t="s">
        <v>459</v>
      </c>
      <c r="G359" s="12" t="n">
        <v>1</v>
      </c>
      <c r="H359" s="12" t="n">
        <v>0</v>
      </c>
      <c r="I359" s="12" t="n">
        <v>1</v>
      </c>
      <c r="J359" s="12" t="s">
        <v>118</v>
      </c>
      <c r="K359" s="12" t="s">
        <v>460</v>
      </c>
      <c r="L359" s="12" t="s">
        <v>389</v>
      </c>
    </row>
    <row r="360" customFormat="false" ht="15" hidden="false" customHeight="false" outlineLevel="0" collapsed="false">
      <c r="A360" s="12" t="s">
        <v>1012</v>
      </c>
      <c r="B360" s="12" t="s">
        <v>271</v>
      </c>
      <c r="C360" s="12" t="s">
        <v>267</v>
      </c>
      <c r="D360" s="12" t="s">
        <v>67</v>
      </c>
      <c r="E360" s="12" t="s">
        <v>463</v>
      </c>
      <c r="F360" s="12" t="s">
        <v>464</v>
      </c>
      <c r="G360" s="12" t="n">
        <v>1</v>
      </c>
      <c r="H360" s="12" t="n">
        <v>0</v>
      </c>
      <c r="I360" s="12" t="n">
        <v>1</v>
      </c>
      <c r="J360" s="12" t="s">
        <v>118</v>
      </c>
      <c r="K360" s="12" t="s">
        <v>465</v>
      </c>
      <c r="L360" s="12" t="s">
        <v>418</v>
      </c>
    </row>
    <row r="361" customFormat="false" ht="15" hidden="false" customHeight="false" outlineLevel="0" collapsed="false">
      <c r="A361" s="12" t="s">
        <v>1013</v>
      </c>
      <c r="B361" s="12" t="s">
        <v>271</v>
      </c>
      <c r="C361" s="12" t="s">
        <v>267</v>
      </c>
      <c r="D361" s="12" t="s">
        <v>67</v>
      </c>
      <c r="E361" s="12" t="s">
        <v>468</v>
      </c>
      <c r="F361" s="12" t="s">
        <v>469</v>
      </c>
      <c r="G361" s="12" t="n">
        <v>4</v>
      </c>
      <c r="H361" s="12" t="n">
        <v>0</v>
      </c>
      <c r="I361" s="12" t="n">
        <v>1</v>
      </c>
      <c r="J361" s="12" t="s">
        <v>118</v>
      </c>
      <c r="K361" s="12" t="s">
        <v>470</v>
      </c>
      <c r="L361" s="12" t="s">
        <v>418</v>
      </c>
    </row>
    <row r="362" customFormat="false" ht="15" hidden="false" customHeight="false" outlineLevel="0" collapsed="false">
      <c r="A362" s="12" t="s">
        <v>1014</v>
      </c>
      <c r="B362" s="12" t="s">
        <v>271</v>
      </c>
      <c r="C362" s="12" t="s">
        <v>267</v>
      </c>
      <c r="D362" s="12" t="s">
        <v>67</v>
      </c>
      <c r="E362" s="12" t="s">
        <v>472</v>
      </c>
      <c r="F362" s="12" t="s">
        <v>473</v>
      </c>
      <c r="G362" s="12" t="n">
        <v>1</v>
      </c>
      <c r="H362" s="12" t="n">
        <v>0</v>
      </c>
      <c r="I362" s="12" t="n">
        <v>1</v>
      </c>
      <c r="J362" s="12" t="s">
        <v>118</v>
      </c>
      <c r="K362" s="12" t="s">
        <v>474</v>
      </c>
      <c r="L362" s="12" t="s">
        <v>418</v>
      </c>
    </row>
    <row r="363" customFormat="false" ht="15" hidden="false" customHeight="false" outlineLevel="0" collapsed="false">
      <c r="A363" s="12" t="s">
        <v>1015</v>
      </c>
      <c r="B363" s="12" t="s">
        <v>271</v>
      </c>
      <c r="C363" s="12" t="s">
        <v>267</v>
      </c>
      <c r="D363" s="12" t="s">
        <v>67</v>
      </c>
      <c r="E363" s="12" t="s">
        <v>478</v>
      </c>
      <c r="F363" s="12" t="s">
        <v>479</v>
      </c>
      <c r="G363" s="12" t="n">
        <v>1</v>
      </c>
      <c r="H363" s="12" t="n">
        <v>0</v>
      </c>
      <c r="I363" s="12" t="n">
        <v>1</v>
      </c>
      <c r="J363" s="12" t="s">
        <v>480</v>
      </c>
      <c r="K363" s="12" t="s">
        <v>388</v>
      </c>
      <c r="L363" s="12" t="s">
        <v>389</v>
      </c>
    </row>
    <row r="364" customFormat="false" ht="15" hidden="false" customHeight="false" outlineLevel="0" collapsed="false">
      <c r="A364" s="12" t="s">
        <v>1016</v>
      </c>
      <c r="B364" s="12" t="s">
        <v>274</v>
      </c>
      <c r="C364" s="12" t="s">
        <v>267</v>
      </c>
      <c r="D364" s="12" t="s">
        <v>67</v>
      </c>
      <c r="E364" s="12" t="s">
        <v>384</v>
      </c>
      <c r="F364" s="12" t="s">
        <v>385</v>
      </c>
      <c r="G364" s="12" t="n">
        <v>7</v>
      </c>
      <c r="H364" s="12" t="n">
        <v>0</v>
      </c>
      <c r="I364" s="12" t="n">
        <v>2</v>
      </c>
      <c r="J364" s="12" t="s">
        <v>113</v>
      </c>
      <c r="K364" s="12" t="s">
        <v>388</v>
      </c>
      <c r="L364" s="12" t="s">
        <v>389</v>
      </c>
    </row>
    <row r="365" customFormat="false" ht="15" hidden="false" customHeight="false" outlineLevel="0" collapsed="false">
      <c r="A365" s="12" t="s">
        <v>1017</v>
      </c>
      <c r="B365" s="12" t="s">
        <v>274</v>
      </c>
      <c r="C365" s="12" t="s">
        <v>267</v>
      </c>
      <c r="D365" s="12" t="s">
        <v>67</v>
      </c>
      <c r="E365" s="12" t="s">
        <v>392</v>
      </c>
      <c r="F365" s="12" t="s">
        <v>393</v>
      </c>
      <c r="G365" s="12" t="n">
        <v>6</v>
      </c>
      <c r="H365" s="12" t="n">
        <v>0</v>
      </c>
      <c r="I365" s="12" t="n">
        <v>1</v>
      </c>
      <c r="J365" s="12" t="s">
        <v>113</v>
      </c>
      <c r="K365" s="12" t="s">
        <v>388</v>
      </c>
      <c r="L365" s="12" t="s">
        <v>389</v>
      </c>
    </row>
    <row r="366" customFormat="false" ht="15" hidden="false" customHeight="false" outlineLevel="0" collapsed="false">
      <c r="A366" s="12" t="s">
        <v>1018</v>
      </c>
      <c r="B366" s="12" t="s">
        <v>274</v>
      </c>
      <c r="C366" s="12" t="s">
        <v>267</v>
      </c>
      <c r="D366" s="12" t="s">
        <v>67</v>
      </c>
      <c r="E366" s="12" t="s">
        <v>396</v>
      </c>
      <c r="F366" s="12" t="s">
        <v>397</v>
      </c>
      <c r="G366" s="12" t="n">
        <v>4</v>
      </c>
      <c r="H366" s="12" t="n">
        <v>0</v>
      </c>
      <c r="I366" s="12" t="n">
        <v>1</v>
      </c>
      <c r="J366" s="12" t="s">
        <v>113</v>
      </c>
      <c r="K366" s="12" t="s">
        <v>388</v>
      </c>
      <c r="L366" s="12" t="s">
        <v>389</v>
      </c>
    </row>
    <row r="367" customFormat="false" ht="15" hidden="false" customHeight="false" outlineLevel="0" collapsed="false">
      <c r="A367" s="12" t="s">
        <v>1019</v>
      </c>
      <c r="B367" s="12" t="s">
        <v>274</v>
      </c>
      <c r="C367" s="12" t="s">
        <v>267</v>
      </c>
      <c r="D367" s="12" t="s">
        <v>67</v>
      </c>
      <c r="E367" s="12" t="s">
        <v>400</v>
      </c>
      <c r="F367" s="12" t="s">
        <v>401</v>
      </c>
      <c r="G367" s="12" t="n">
        <v>7</v>
      </c>
      <c r="H367" s="12" t="n">
        <v>0</v>
      </c>
      <c r="I367" s="12" t="n">
        <v>2</v>
      </c>
      <c r="J367" s="12" t="s">
        <v>113</v>
      </c>
      <c r="K367" s="12" t="s">
        <v>388</v>
      </c>
      <c r="L367" s="12" t="s">
        <v>389</v>
      </c>
    </row>
    <row r="368" customFormat="false" ht="15" hidden="false" customHeight="false" outlineLevel="0" collapsed="false">
      <c r="A368" s="12" t="s">
        <v>1020</v>
      </c>
      <c r="B368" s="12" t="s">
        <v>274</v>
      </c>
      <c r="C368" s="12" t="s">
        <v>267</v>
      </c>
      <c r="D368" s="12" t="s">
        <v>67</v>
      </c>
      <c r="E368" s="12" t="s">
        <v>408</v>
      </c>
      <c r="F368" s="12" t="s">
        <v>409</v>
      </c>
      <c r="G368" s="12" t="n">
        <v>6</v>
      </c>
      <c r="H368" s="12" t="n">
        <v>0</v>
      </c>
      <c r="I368" s="12" t="n">
        <v>1</v>
      </c>
      <c r="J368" s="12" t="s">
        <v>113</v>
      </c>
      <c r="K368" s="12" t="s">
        <v>388</v>
      </c>
      <c r="L368" s="12" t="s">
        <v>389</v>
      </c>
    </row>
    <row r="369" customFormat="false" ht="15" hidden="false" customHeight="false" outlineLevel="0" collapsed="false">
      <c r="A369" s="12" t="s">
        <v>1021</v>
      </c>
      <c r="B369" s="12" t="s">
        <v>274</v>
      </c>
      <c r="C369" s="12" t="s">
        <v>267</v>
      </c>
      <c r="D369" s="12" t="s">
        <v>67</v>
      </c>
      <c r="E369" s="12" t="s">
        <v>412</v>
      </c>
      <c r="F369" s="12" t="s">
        <v>413</v>
      </c>
      <c r="G369" s="12" t="n">
        <v>6</v>
      </c>
      <c r="H369" s="12" t="n">
        <v>0</v>
      </c>
      <c r="I369" s="12" t="n">
        <v>1</v>
      </c>
      <c r="J369" s="12" t="s">
        <v>113</v>
      </c>
      <c r="K369" s="12" t="s">
        <v>388</v>
      </c>
      <c r="L369" s="12" t="s">
        <v>389</v>
      </c>
    </row>
    <row r="370" customFormat="false" ht="15" hidden="false" customHeight="false" outlineLevel="0" collapsed="false">
      <c r="A370" s="12" t="s">
        <v>1022</v>
      </c>
      <c r="B370" s="12" t="s">
        <v>274</v>
      </c>
      <c r="C370" s="12" t="s">
        <v>267</v>
      </c>
      <c r="D370" s="12" t="s">
        <v>67</v>
      </c>
      <c r="E370" s="12" t="s">
        <v>414</v>
      </c>
      <c r="F370" s="12" t="s">
        <v>415</v>
      </c>
      <c r="G370" s="12" t="n">
        <v>2</v>
      </c>
      <c r="H370" s="12" t="n">
        <v>1</v>
      </c>
      <c r="I370" s="12" t="n">
        <v>2</v>
      </c>
      <c r="J370" s="12" t="s">
        <v>113</v>
      </c>
      <c r="K370" s="12" t="s">
        <v>417</v>
      </c>
      <c r="L370" s="12" t="s">
        <v>418</v>
      </c>
    </row>
    <row r="371" customFormat="false" ht="15" hidden="false" customHeight="false" outlineLevel="0" collapsed="false">
      <c r="A371" s="12" t="s">
        <v>1023</v>
      </c>
      <c r="B371" s="12" t="s">
        <v>274</v>
      </c>
      <c r="C371" s="12" t="s">
        <v>267</v>
      </c>
      <c r="D371" s="12" t="s">
        <v>67</v>
      </c>
      <c r="E371" s="12" t="s">
        <v>453</v>
      </c>
      <c r="F371" s="12" t="s">
        <v>454</v>
      </c>
      <c r="G371" s="12" t="n">
        <v>2</v>
      </c>
      <c r="H371" s="12" t="n">
        <v>0</v>
      </c>
      <c r="I371" s="12" t="n">
        <v>1</v>
      </c>
      <c r="J371" s="12" t="s">
        <v>118</v>
      </c>
      <c r="K371" s="12" t="s">
        <v>456</v>
      </c>
      <c r="L371" s="12" t="s">
        <v>389</v>
      </c>
    </row>
    <row r="372" customFormat="false" ht="15" hidden="false" customHeight="false" outlineLevel="0" collapsed="false">
      <c r="A372" s="12" t="s">
        <v>1024</v>
      </c>
      <c r="B372" s="12" t="s">
        <v>274</v>
      </c>
      <c r="C372" s="12" t="s">
        <v>267</v>
      </c>
      <c r="D372" s="12" t="s">
        <v>67</v>
      </c>
      <c r="E372" s="12" t="s">
        <v>458</v>
      </c>
      <c r="F372" s="12" t="s">
        <v>459</v>
      </c>
      <c r="G372" s="12" t="n">
        <v>1</v>
      </c>
      <c r="H372" s="12" t="n">
        <v>0</v>
      </c>
      <c r="I372" s="12" t="n">
        <v>1</v>
      </c>
      <c r="J372" s="12" t="s">
        <v>118</v>
      </c>
      <c r="K372" s="12" t="s">
        <v>460</v>
      </c>
      <c r="L372" s="12" t="s">
        <v>389</v>
      </c>
    </row>
    <row r="373" customFormat="false" ht="15" hidden="false" customHeight="false" outlineLevel="0" collapsed="false">
      <c r="A373" s="12" t="s">
        <v>1025</v>
      </c>
      <c r="B373" s="12" t="s">
        <v>274</v>
      </c>
      <c r="C373" s="12" t="s">
        <v>267</v>
      </c>
      <c r="D373" s="12" t="s">
        <v>67</v>
      </c>
      <c r="E373" s="12" t="s">
        <v>463</v>
      </c>
      <c r="F373" s="12" t="s">
        <v>464</v>
      </c>
      <c r="G373" s="12" t="n">
        <v>1</v>
      </c>
      <c r="H373" s="12" t="n">
        <v>0</v>
      </c>
      <c r="I373" s="12" t="n">
        <v>1</v>
      </c>
      <c r="J373" s="12" t="s">
        <v>118</v>
      </c>
      <c r="K373" s="12" t="s">
        <v>465</v>
      </c>
      <c r="L373" s="12" t="s">
        <v>418</v>
      </c>
    </row>
    <row r="374" customFormat="false" ht="15" hidden="false" customHeight="false" outlineLevel="0" collapsed="false">
      <c r="A374" s="12" t="s">
        <v>1026</v>
      </c>
      <c r="B374" s="12" t="s">
        <v>274</v>
      </c>
      <c r="C374" s="12" t="s">
        <v>267</v>
      </c>
      <c r="D374" s="12" t="s">
        <v>67</v>
      </c>
      <c r="E374" s="12" t="s">
        <v>468</v>
      </c>
      <c r="F374" s="12" t="s">
        <v>469</v>
      </c>
      <c r="G374" s="12" t="n">
        <v>4</v>
      </c>
      <c r="H374" s="12" t="n">
        <v>0</v>
      </c>
      <c r="I374" s="12" t="n">
        <v>1</v>
      </c>
      <c r="J374" s="12" t="s">
        <v>118</v>
      </c>
      <c r="K374" s="12" t="s">
        <v>470</v>
      </c>
      <c r="L374" s="12" t="s">
        <v>418</v>
      </c>
    </row>
    <row r="375" customFormat="false" ht="15" hidden="false" customHeight="false" outlineLevel="0" collapsed="false">
      <c r="A375" s="12" t="s">
        <v>1027</v>
      </c>
      <c r="B375" s="12" t="s">
        <v>274</v>
      </c>
      <c r="C375" s="12" t="s">
        <v>267</v>
      </c>
      <c r="D375" s="12" t="s">
        <v>67</v>
      </c>
      <c r="E375" s="12" t="s">
        <v>472</v>
      </c>
      <c r="F375" s="12" t="s">
        <v>473</v>
      </c>
      <c r="G375" s="12" t="n">
        <v>1</v>
      </c>
      <c r="H375" s="12" t="n">
        <v>0</v>
      </c>
      <c r="I375" s="12" t="n">
        <v>1</v>
      </c>
      <c r="J375" s="12" t="s">
        <v>118</v>
      </c>
      <c r="K375" s="12" t="s">
        <v>474</v>
      </c>
      <c r="L375" s="12" t="s">
        <v>418</v>
      </c>
    </row>
    <row r="376" customFormat="false" ht="15" hidden="false" customHeight="false" outlineLevel="0" collapsed="false">
      <c r="A376" s="12" t="s">
        <v>1028</v>
      </c>
      <c r="B376" s="12" t="s">
        <v>274</v>
      </c>
      <c r="C376" s="12" t="s">
        <v>267</v>
      </c>
      <c r="D376" s="12" t="s">
        <v>67</v>
      </c>
      <c r="E376" s="12" t="s">
        <v>478</v>
      </c>
      <c r="F376" s="12" t="s">
        <v>479</v>
      </c>
      <c r="G376" s="12" t="n">
        <v>1</v>
      </c>
      <c r="H376" s="12" t="n">
        <v>0</v>
      </c>
      <c r="I376" s="12" t="n">
        <v>1</v>
      </c>
      <c r="J376" s="12" t="s">
        <v>480</v>
      </c>
      <c r="K376" s="12" t="s">
        <v>388</v>
      </c>
      <c r="L376" s="12" t="s">
        <v>389</v>
      </c>
    </row>
    <row r="377" customFormat="false" ht="15" hidden="false" customHeight="false" outlineLevel="0" collapsed="false">
      <c r="A377" s="12" t="s">
        <v>1029</v>
      </c>
      <c r="B377" s="12" t="s">
        <v>278</v>
      </c>
      <c r="C377" s="12" t="s">
        <v>267</v>
      </c>
      <c r="D377" s="12" t="s">
        <v>67</v>
      </c>
      <c r="E377" s="12" t="s">
        <v>384</v>
      </c>
      <c r="F377" s="12" t="s">
        <v>385</v>
      </c>
      <c r="G377" s="12" t="n">
        <v>7</v>
      </c>
      <c r="H377" s="12" t="n">
        <v>0</v>
      </c>
      <c r="I377" s="12" t="n">
        <v>2</v>
      </c>
      <c r="J377" s="12" t="s">
        <v>113</v>
      </c>
      <c r="K377" s="12" t="s">
        <v>388</v>
      </c>
      <c r="L377" s="12" t="s">
        <v>389</v>
      </c>
    </row>
    <row r="378" customFormat="false" ht="15" hidden="false" customHeight="false" outlineLevel="0" collapsed="false">
      <c r="A378" s="12" t="s">
        <v>1030</v>
      </c>
      <c r="B378" s="12" t="s">
        <v>278</v>
      </c>
      <c r="C378" s="12" t="s">
        <v>267</v>
      </c>
      <c r="D378" s="12" t="s">
        <v>67</v>
      </c>
      <c r="E378" s="12" t="s">
        <v>392</v>
      </c>
      <c r="F378" s="12" t="s">
        <v>393</v>
      </c>
      <c r="G378" s="12" t="n">
        <v>6</v>
      </c>
      <c r="H378" s="12" t="n">
        <v>0</v>
      </c>
      <c r="I378" s="12" t="n">
        <v>1</v>
      </c>
      <c r="J378" s="12" t="s">
        <v>113</v>
      </c>
      <c r="K378" s="12" t="s">
        <v>388</v>
      </c>
      <c r="L378" s="12" t="s">
        <v>389</v>
      </c>
    </row>
    <row r="379" customFormat="false" ht="15" hidden="false" customHeight="false" outlineLevel="0" collapsed="false">
      <c r="A379" s="12" t="s">
        <v>1031</v>
      </c>
      <c r="B379" s="12" t="s">
        <v>278</v>
      </c>
      <c r="C379" s="12" t="s">
        <v>267</v>
      </c>
      <c r="D379" s="12" t="s">
        <v>67</v>
      </c>
      <c r="E379" s="12" t="s">
        <v>396</v>
      </c>
      <c r="F379" s="12" t="s">
        <v>397</v>
      </c>
      <c r="G379" s="12" t="n">
        <v>4</v>
      </c>
      <c r="H379" s="12" t="n">
        <v>0</v>
      </c>
      <c r="I379" s="12" t="n">
        <v>1</v>
      </c>
      <c r="J379" s="12" t="s">
        <v>113</v>
      </c>
      <c r="K379" s="12" t="s">
        <v>388</v>
      </c>
      <c r="L379" s="12" t="s">
        <v>389</v>
      </c>
    </row>
    <row r="380" customFormat="false" ht="15" hidden="false" customHeight="false" outlineLevel="0" collapsed="false">
      <c r="A380" s="12" t="s">
        <v>1032</v>
      </c>
      <c r="B380" s="12" t="s">
        <v>278</v>
      </c>
      <c r="C380" s="12" t="s">
        <v>267</v>
      </c>
      <c r="D380" s="12" t="s">
        <v>67</v>
      </c>
      <c r="E380" s="12" t="s">
        <v>400</v>
      </c>
      <c r="F380" s="12" t="s">
        <v>401</v>
      </c>
      <c r="G380" s="12" t="n">
        <v>7</v>
      </c>
      <c r="H380" s="12" t="n">
        <v>0</v>
      </c>
      <c r="I380" s="12" t="n">
        <v>2</v>
      </c>
      <c r="J380" s="12" t="s">
        <v>113</v>
      </c>
      <c r="K380" s="12" t="s">
        <v>388</v>
      </c>
      <c r="L380" s="12" t="s">
        <v>389</v>
      </c>
    </row>
    <row r="381" customFormat="false" ht="15" hidden="false" customHeight="false" outlineLevel="0" collapsed="false">
      <c r="A381" s="12" t="s">
        <v>1033</v>
      </c>
      <c r="B381" s="12" t="s">
        <v>278</v>
      </c>
      <c r="C381" s="12" t="s">
        <v>267</v>
      </c>
      <c r="D381" s="12" t="s">
        <v>67</v>
      </c>
      <c r="E381" s="12" t="s">
        <v>408</v>
      </c>
      <c r="F381" s="12" t="s">
        <v>409</v>
      </c>
      <c r="G381" s="12" t="n">
        <v>6</v>
      </c>
      <c r="H381" s="12" t="n">
        <v>0</v>
      </c>
      <c r="I381" s="12" t="n">
        <v>1</v>
      </c>
      <c r="J381" s="12" t="s">
        <v>113</v>
      </c>
      <c r="K381" s="12" t="s">
        <v>388</v>
      </c>
      <c r="L381" s="12" t="s">
        <v>389</v>
      </c>
    </row>
    <row r="382" customFormat="false" ht="15" hidden="false" customHeight="false" outlineLevel="0" collapsed="false">
      <c r="A382" s="12" t="s">
        <v>1034</v>
      </c>
      <c r="B382" s="12" t="s">
        <v>278</v>
      </c>
      <c r="C382" s="12" t="s">
        <v>267</v>
      </c>
      <c r="D382" s="12" t="s">
        <v>67</v>
      </c>
      <c r="E382" s="12" t="s">
        <v>412</v>
      </c>
      <c r="F382" s="12" t="s">
        <v>413</v>
      </c>
      <c r="G382" s="12" t="n">
        <v>6</v>
      </c>
      <c r="H382" s="12" t="n">
        <v>0</v>
      </c>
      <c r="I382" s="12" t="n">
        <v>1</v>
      </c>
      <c r="J382" s="12" t="s">
        <v>113</v>
      </c>
      <c r="K382" s="12" t="s">
        <v>388</v>
      </c>
      <c r="L382" s="12" t="s">
        <v>389</v>
      </c>
    </row>
    <row r="383" customFormat="false" ht="15" hidden="false" customHeight="false" outlineLevel="0" collapsed="false">
      <c r="A383" s="12" t="s">
        <v>1035</v>
      </c>
      <c r="B383" s="12" t="s">
        <v>278</v>
      </c>
      <c r="C383" s="12" t="s">
        <v>267</v>
      </c>
      <c r="D383" s="12" t="s">
        <v>67</v>
      </c>
      <c r="E383" s="12" t="s">
        <v>414</v>
      </c>
      <c r="F383" s="12" t="s">
        <v>415</v>
      </c>
      <c r="G383" s="12" t="n">
        <v>2</v>
      </c>
      <c r="H383" s="12" t="n">
        <v>1</v>
      </c>
      <c r="I383" s="12" t="n">
        <v>2</v>
      </c>
      <c r="J383" s="12" t="s">
        <v>113</v>
      </c>
      <c r="K383" s="12" t="s">
        <v>417</v>
      </c>
      <c r="L383" s="12" t="s">
        <v>418</v>
      </c>
    </row>
    <row r="384" customFormat="false" ht="15" hidden="false" customHeight="false" outlineLevel="0" collapsed="false">
      <c r="A384" s="12" t="s">
        <v>1036</v>
      </c>
      <c r="B384" s="12" t="s">
        <v>278</v>
      </c>
      <c r="C384" s="12" t="s">
        <v>267</v>
      </c>
      <c r="D384" s="12" t="s">
        <v>67</v>
      </c>
      <c r="E384" s="12" t="s">
        <v>453</v>
      </c>
      <c r="F384" s="12" t="s">
        <v>454</v>
      </c>
      <c r="G384" s="12" t="n">
        <v>2</v>
      </c>
      <c r="H384" s="12" t="n">
        <v>0</v>
      </c>
      <c r="I384" s="12" t="n">
        <v>1</v>
      </c>
      <c r="J384" s="12" t="s">
        <v>118</v>
      </c>
      <c r="K384" s="12" t="s">
        <v>456</v>
      </c>
      <c r="L384" s="12" t="s">
        <v>389</v>
      </c>
    </row>
    <row r="385" customFormat="false" ht="15" hidden="false" customHeight="false" outlineLevel="0" collapsed="false">
      <c r="A385" s="12" t="s">
        <v>1037</v>
      </c>
      <c r="B385" s="12" t="s">
        <v>278</v>
      </c>
      <c r="C385" s="12" t="s">
        <v>267</v>
      </c>
      <c r="D385" s="12" t="s">
        <v>67</v>
      </c>
      <c r="E385" s="12" t="s">
        <v>458</v>
      </c>
      <c r="F385" s="12" t="s">
        <v>459</v>
      </c>
      <c r="G385" s="12" t="n">
        <v>1</v>
      </c>
      <c r="H385" s="12" t="n">
        <v>0</v>
      </c>
      <c r="I385" s="12" t="n">
        <v>1</v>
      </c>
      <c r="J385" s="12" t="s">
        <v>118</v>
      </c>
      <c r="K385" s="12" t="s">
        <v>460</v>
      </c>
      <c r="L385" s="12" t="s">
        <v>389</v>
      </c>
    </row>
    <row r="386" customFormat="false" ht="15" hidden="false" customHeight="false" outlineLevel="0" collapsed="false">
      <c r="A386" s="12" t="s">
        <v>1038</v>
      </c>
      <c r="B386" s="12" t="s">
        <v>278</v>
      </c>
      <c r="C386" s="12" t="s">
        <v>267</v>
      </c>
      <c r="D386" s="12" t="s">
        <v>67</v>
      </c>
      <c r="E386" s="12" t="s">
        <v>463</v>
      </c>
      <c r="F386" s="12" t="s">
        <v>464</v>
      </c>
      <c r="G386" s="12" t="n">
        <v>1</v>
      </c>
      <c r="H386" s="12" t="n">
        <v>0</v>
      </c>
      <c r="I386" s="12" t="n">
        <v>1</v>
      </c>
      <c r="J386" s="12" t="s">
        <v>118</v>
      </c>
      <c r="K386" s="12" t="s">
        <v>465</v>
      </c>
      <c r="L386" s="12" t="s">
        <v>418</v>
      </c>
    </row>
    <row r="387" customFormat="false" ht="15" hidden="false" customHeight="false" outlineLevel="0" collapsed="false">
      <c r="A387" s="12" t="s">
        <v>1039</v>
      </c>
      <c r="B387" s="12" t="s">
        <v>278</v>
      </c>
      <c r="C387" s="12" t="s">
        <v>267</v>
      </c>
      <c r="D387" s="12" t="s">
        <v>67</v>
      </c>
      <c r="E387" s="12" t="s">
        <v>468</v>
      </c>
      <c r="F387" s="12" t="s">
        <v>469</v>
      </c>
      <c r="G387" s="12" t="n">
        <v>4</v>
      </c>
      <c r="H387" s="12" t="n">
        <v>0</v>
      </c>
      <c r="I387" s="12" t="n">
        <v>1</v>
      </c>
      <c r="J387" s="12" t="s">
        <v>118</v>
      </c>
      <c r="K387" s="12" t="s">
        <v>470</v>
      </c>
      <c r="L387" s="12" t="s">
        <v>418</v>
      </c>
    </row>
    <row r="388" customFormat="false" ht="15" hidden="false" customHeight="false" outlineLevel="0" collapsed="false">
      <c r="A388" s="12" t="s">
        <v>1040</v>
      </c>
      <c r="B388" s="12" t="s">
        <v>278</v>
      </c>
      <c r="C388" s="12" t="s">
        <v>267</v>
      </c>
      <c r="D388" s="12" t="s">
        <v>67</v>
      </c>
      <c r="E388" s="12" t="s">
        <v>472</v>
      </c>
      <c r="F388" s="12" t="s">
        <v>473</v>
      </c>
      <c r="G388" s="12" t="n">
        <v>1</v>
      </c>
      <c r="H388" s="12" t="n">
        <v>0</v>
      </c>
      <c r="I388" s="12" t="n">
        <v>1</v>
      </c>
      <c r="J388" s="12" t="s">
        <v>118</v>
      </c>
      <c r="K388" s="12" t="s">
        <v>474</v>
      </c>
      <c r="L388" s="12" t="s">
        <v>418</v>
      </c>
    </row>
    <row r="389" customFormat="false" ht="15" hidden="false" customHeight="false" outlineLevel="0" collapsed="false">
      <c r="A389" s="12" t="s">
        <v>1041</v>
      </c>
      <c r="B389" s="12" t="s">
        <v>278</v>
      </c>
      <c r="C389" s="12" t="s">
        <v>267</v>
      </c>
      <c r="D389" s="12" t="s">
        <v>67</v>
      </c>
      <c r="E389" s="12" t="s">
        <v>478</v>
      </c>
      <c r="F389" s="12" t="s">
        <v>479</v>
      </c>
      <c r="G389" s="12" t="n">
        <v>1</v>
      </c>
      <c r="H389" s="12" t="n">
        <v>0</v>
      </c>
      <c r="I389" s="12" t="n">
        <v>1</v>
      </c>
      <c r="J389" s="12" t="s">
        <v>480</v>
      </c>
      <c r="K389" s="12" t="s">
        <v>388</v>
      </c>
      <c r="L389" s="12" t="s">
        <v>389</v>
      </c>
    </row>
    <row r="390" customFormat="false" ht="15" hidden="false" customHeight="false" outlineLevel="0" collapsed="false">
      <c r="A390" s="12" t="s">
        <v>1042</v>
      </c>
      <c r="B390" s="12" t="s">
        <v>282</v>
      </c>
      <c r="C390" s="12" t="s">
        <v>283</v>
      </c>
      <c r="D390" s="12" t="s">
        <v>67</v>
      </c>
      <c r="E390" s="12" t="s">
        <v>384</v>
      </c>
      <c r="F390" s="12" t="s">
        <v>385</v>
      </c>
      <c r="G390" s="12" t="n">
        <v>7</v>
      </c>
      <c r="H390" s="12" t="n">
        <v>0</v>
      </c>
      <c r="I390" s="12" t="n">
        <v>2</v>
      </c>
      <c r="J390" s="12" t="s">
        <v>113</v>
      </c>
      <c r="K390" s="12" t="s">
        <v>388</v>
      </c>
      <c r="L390" s="12" t="s">
        <v>389</v>
      </c>
    </row>
    <row r="391" customFormat="false" ht="15" hidden="false" customHeight="false" outlineLevel="0" collapsed="false">
      <c r="A391" s="12" t="s">
        <v>1043</v>
      </c>
      <c r="B391" s="12" t="s">
        <v>282</v>
      </c>
      <c r="C391" s="12" t="s">
        <v>283</v>
      </c>
      <c r="D391" s="12" t="s">
        <v>67</v>
      </c>
      <c r="E391" s="12" t="s">
        <v>392</v>
      </c>
      <c r="F391" s="12" t="s">
        <v>393</v>
      </c>
      <c r="G391" s="12" t="n">
        <v>6</v>
      </c>
      <c r="H391" s="12" t="n">
        <v>0</v>
      </c>
      <c r="I391" s="12" t="n">
        <v>1</v>
      </c>
      <c r="J391" s="12" t="s">
        <v>113</v>
      </c>
      <c r="K391" s="12" t="s">
        <v>388</v>
      </c>
      <c r="L391" s="12" t="s">
        <v>389</v>
      </c>
    </row>
    <row r="392" customFormat="false" ht="15" hidden="false" customHeight="false" outlineLevel="0" collapsed="false">
      <c r="A392" s="12" t="s">
        <v>1044</v>
      </c>
      <c r="B392" s="12" t="s">
        <v>282</v>
      </c>
      <c r="C392" s="12" t="s">
        <v>283</v>
      </c>
      <c r="D392" s="12" t="s">
        <v>67</v>
      </c>
      <c r="E392" s="12" t="s">
        <v>396</v>
      </c>
      <c r="F392" s="12" t="s">
        <v>397</v>
      </c>
      <c r="G392" s="12" t="n">
        <v>4</v>
      </c>
      <c r="H392" s="12" t="n">
        <v>0</v>
      </c>
      <c r="I392" s="12" t="n">
        <v>1</v>
      </c>
      <c r="J392" s="12" t="s">
        <v>113</v>
      </c>
      <c r="K392" s="12" t="s">
        <v>388</v>
      </c>
      <c r="L392" s="12" t="s">
        <v>389</v>
      </c>
    </row>
    <row r="393" customFormat="false" ht="15" hidden="false" customHeight="false" outlineLevel="0" collapsed="false">
      <c r="A393" s="12" t="s">
        <v>1045</v>
      </c>
      <c r="B393" s="12" t="s">
        <v>282</v>
      </c>
      <c r="C393" s="12" t="s">
        <v>283</v>
      </c>
      <c r="D393" s="12" t="s">
        <v>67</v>
      </c>
      <c r="E393" s="12" t="s">
        <v>400</v>
      </c>
      <c r="F393" s="12" t="s">
        <v>401</v>
      </c>
      <c r="G393" s="12" t="n">
        <v>7</v>
      </c>
      <c r="H393" s="12" t="n">
        <v>0</v>
      </c>
      <c r="I393" s="12" t="n">
        <v>2</v>
      </c>
      <c r="J393" s="12" t="s">
        <v>113</v>
      </c>
      <c r="K393" s="12" t="s">
        <v>388</v>
      </c>
      <c r="L393" s="12" t="s">
        <v>389</v>
      </c>
    </row>
    <row r="394" customFormat="false" ht="15" hidden="false" customHeight="false" outlineLevel="0" collapsed="false">
      <c r="A394" s="12" t="s">
        <v>1046</v>
      </c>
      <c r="B394" s="12" t="s">
        <v>282</v>
      </c>
      <c r="C394" s="12" t="s">
        <v>283</v>
      </c>
      <c r="D394" s="12" t="s">
        <v>67</v>
      </c>
      <c r="E394" s="12" t="s">
        <v>408</v>
      </c>
      <c r="F394" s="12" t="s">
        <v>409</v>
      </c>
      <c r="G394" s="12" t="n">
        <v>6</v>
      </c>
      <c r="H394" s="12" t="n">
        <v>0</v>
      </c>
      <c r="I394" s="12" t="n">
        <v>1</v>
      </c>
      <c r="J394" s="12" t="s">
        <v>113</v>
      </c>
      <c r="K394" s="12" t="s">
        <v>388</v>
      </c>
      <c r="L394" s="12" t="s">
        <v>389</v>
      </c>
    </row>
    <row r="395" customFormat="false" ht="15" hidden="false" customHeight="false" outlineLevel="0" collapsed="false">
      <c r="A395" s="12" t="s">
        <v>1047</v>
      </c>
      <c r="B395" s="12" t="s">
        <v>282</v>
      </c>
      <c r="C395" s="12" t="s">
        <v>283</v>
      </c>
      <c r="D395" s="12" t="s">
        <v>67</v>
      </c>
      <c r="E395" s="12" t="s">
        <v>412</v>
      </c>
      <c r="F395" s="12" t="s">
        <v>413</v>
      </c>
      <c r="G395" s="12" t="n">
        <v>6</v>
      </c>
      <c r="H395" s="12" t="n">
        <v>0</v>
      </c>
      <c r="I395" s="12" t="n">
        <v>1</v>
      </c>
      <c r="J395" s="12" t="s">
        <v>113</v>
      </c>
      <c r="K395" s="12" t="s">
        <v>388</v>
      </c>
      <c r="L395" s="12" t="s">
        <v>389</v>
      </c>
    </row>
    <row r="396" customFormat="false" ht="15" hidden="false" customHeight="false" outlineLevel="0" collapsed="false">
      <c r="A396" s="12" t="s">
        <v>1048</v>
      </c>
      <c r="B396" s="12" t="s">
        <v>282</v>
      </c>
      <c r="C396" s="12" t="s">
        <v>283</v>
      </c>
      <c r="D396" s="12" t="s">
        <v>67</v>
      </c>
      <c r="E396" s="12" t="s">
        <v>414</v>
      </c>
      <c r="F396" s="12" t="s">
        <v>415</v>
      </c>
      <c r="G396" s="12" t="n">
        <v>2</v>
      </c>
      <c r="H396" s="12" t="n">
        <v>1</v>
      </c>
      <c r="I396" s="12" t="n">
        <v>2</v>
      </c>
      <c r="J396" s="12" t="s">
        <v>113</v>
      </c>
      <c r="K396" s="12" t="s">
        <v>417</v>
      </c>
      <c r="L396" s="12" t="s">
        <v>418</v>
      </c>
    </row>
    <row r="397" customFormat="false" ht="15" hidden="false" customHeight="false" outlineLevel="0" collapsed="false">
      <c r="A397" s="12" t="s">
        <v>1049</v>
      </c>
      <c r="B397" s="12" t="s">
        <v>282</v>
      </c>
      <c r="C397" s="12" t="s">
        <v>283</v>
      </c>
      <c r="D397" s="12" t="s">
        <v>67</v>
      </c>
      <c r="E397" s="12" t="s">
        <v>453</v>
      </c>
      <c r="F397" s="12" t="s">
        <v>454</v>
      </c>
      <c r="G397" s="12" t="n">
        <v>2</v>
      </c>
      <c r="H397" s="12" t="n">
        <v>0</v>
      </c>
      <c r="I397" s="12" t="n">
        <v>1</v>
      </c>
      <c r="J397" s="12" t="s">
        <v>118</v>
      </c>
      <c r="K397" s="12" t="s">
        <v>456</v>
      </c>
      <c r="L397" s="12" t="s">
        <v>389</v>
      </c>
    </row>
    <row r="398" customFormat="false" ht="15" hidden="false" customHeight="false" outlineLevel="0" collapsed="false">
      <c r="A398" s="12" t="s">
        <v>1050</v>
      </c>
      <c r="B398" s="12" t="s">
        <v>282</v>
      </c>
      <c r="C398" s="12" t="s">
        <v>283</v>
      </c>
      <c r="D398" s="12" t="s">
        <v>67</v>
      </c>
      <c r="E398" s="12" t="s">
        <v>458</v>
      </c>
      <c r="F398" s="12" t="s">
        <v>459</v>
      </c>
      <c r="G398" s="12" t="n">
        <v>1</v>
      </c>
      <c r="H398" s="12" t="n">
        <v>0</v>
      </c>
      <c r="I398" s="12" t="n">
        <v>1</v>
      </c>
      <c r="J398" s="12" t="s">
        <v>118</v>
      </c>
      <c r="K398" s="12" t="s">
        <v>460</v>
      </c>
      <c r="L398" s="12" t="s">
        <v>389</v>
      </c>
    </row>
    <row r="399" customFormat="false" ht="15" hidden="false" customHeight="false" outlineLevel="0" collapsed="false">
      <c r="A399" s="12" t="s">
        <v>1051</v>
      </c>
      <c r="B399" s="12" t="s">
        <v>282</v>
      </c>
      <c r="C399" s="12" t="s">
        <v>283</v>
      </c>
      <c r="D399" s="12" t="s">
        <v>67</v>
      </c>
      <c r="E399" s="12" t="s">
        <v>463</v>
      </c>
      <c r="F399" s="12" t="s">
        <v>464</v>
      </c>
      <c r="G399" s="12" t="n">
        <v>1</v>
      </c>
      <c r="H399" s="12" t="n">
        <v>0</v>
      </c>
      <c r="I399" s="12" t="n">
        <v>1</v>
      </c>
      <c r="J399" s="12" t="s">
        <v>118</v>
      </c>
      <c r="K399" s="12" t="s">
        <v>465</v>
      </c>
      <c r="L399" s="12" t="s">
        <v>418</v>
      </c>
    </row>
    <row r="400" customFormat="false" ht="15" hidden="false" customHeight="false" outlineLevel="0" collapsed="false">
      <c r="A400" s="12" t="s">
        <v>1052</v>
      </c>
      <c r="B400" s="12" t="s">
        <v>282</v>
      </c>
      <c r="C400" s="12" t="s">
        <v>283</v>
      </c>
      <c r="D400" s="12" t="s">
        <v>67</v>
      </c>
      <c r="E400" s="12" t="s">
        <v>468</v>
      </c>
      <c r="F400" s="12" t="s">
        <v>469</v>
      </c>
      <c r="G400" s="12" t="n">
        <v>4</v>
      </c>
      <c r="H400" s="12" t="n">
        <v>0</v>
      </c>
      <c r="I400" s="12" t="n">
        <v>1</v>
      </c>
      <c r="J400" s="12" t="s">
        <v>118</v>
      </c>
      <c r="K400" s="12" t="s">
        <v>470</v>
      </c>
      <c r="L400" s="12" t="s">
        <v>418</v>
      </c>
    </row>
    <row r="401" customFormat="false" ht="15" hidden="false" customHeight="false" outlineLevel="0" collapsed="false">
      <c r="A401" s="12" t="s">
        <v>1053</v>
      </c>
      <c r="B401" s="12" t="s">
        <v>282</v>
      </c>
      <c r="C401" s="12" t="s">
        <v>283</v>
      </c>
      <c r="D401" s="12" t="s">
        <v>67</v>
      </c>
      <c r="E401" s="12" t="s">
        <v>472</v>
      </c>
      <c r="F401" s="12" t="s">
        <v>473</v>
      </c>
      <c r="G401" s="12" t="n">
        <v>1</v>
      </c>
      <c r="H401" s="12" t="n">
        <v>0</v>
      </c>
      <c r="I401" s="12" t="n">
        <v>1</v>
      </c>
      <c r="J401" s="12" t="s">
        <v>118</v>
      </c>
      <c r="K401" s="12" t="s">
        <v>474</v>
      </c>
      <c r="L401" s="12" t="s">
        <v>418</v>
      </c>
    </row>
    <row r="402" customFormat="false" ht="15" hidden="false" customHeight="false" outlineLevel="0" collapsed="false">
      <c r="A402" s="12" t="s">
        <v>1054</v>
      </c>
      <c r="B402" s="12" t="s">
        <v>282</v>
      </c>
      <c r="C402" s="12" t="s">
        <v>283</v>
      </c>
      <c r="D402" s="12" t="s">
        <v>67</v>
      </c>
      <c r="E402" s="12" t="s">
        <v>478</v>
      </c>
      <c r="F402" s="12" t="s">
        <v>479</v>
      </c>
      <c r="G402" s="12" t="n">
        <v>1</v>
      </c>
      <c r="H402" s="12" t="n">
        <v>0</v>
      </c>
      <c r="I402" s="12" t="n">
        <v>1</v>
      </c>
      <c r="J402" s="12" t="s">
        <v>480</v>
      </c>
      <c r="K402" s="12" t="s">
        <v>388</v>
      </c>
      <c r="L402" s="12" t="s">
        <v>389</v>
      </c>
    </row>
    <row r="403" customFormat="false" ht="15" hidden="false" customHeight="false" outlineLevel="0" collapsed="false">
      <c r="A403" s="12" t="s">
        <v>1055</v>
      </c>
      <c r="B403" s="12" t="s">
        <v>287</v>
      </c>
      <c r="C403" s="12" t="s">
        <v>283</v>
      </c>
      <c r="D403" s="12" t="s">
        <v>67</v>
      </c>
      <c r="E403" s="12" t="s">
        <v>384</v>
      </c>
      <c r="F403" s="12" t="s">
        <v>385</v>
      </c>
      <c r="G403" s="12" t="n">
        <v>7</v>
      </c>
      <c r="H403" s="12" t="n">
        <v>0</v>
      </c>
      <c r="I403" s="12" t="n">
        <v>2</v>
      </c>
      <c r="J403" s="12" t="s">
        <v>113</v>
      </c>
      <c r="K403" s="12" t="s">
        <v>388</v>
      </c>
      <c r="L403" s="12" t="s">
        <v>389</v>
      </c>
    </row>
    <row r="404" customFormat="false" ht="15" hidden="false" customHeight="false" outlineLevel="0" collapsed="false">
      <c r="A404" s="12" t="s">
        <v>1056</v>
      </c>
      <c r="B404" s="12" t="s">
        <v>287</v>
      </c>
      <c r="C404" s="12" t="s">
        <v>283</v>
      </c>
      <c r="D404" s="12" t="s">
        <v>67</v>
      </c>
      <c r="E404" s="12" t="s">
        <v>392</v>
      </c>
      <c r="F404" s="12" t="s">
        <v>393</v>
      </c>
      <c r="G404" s="12" t="n">
        <v>6</v>
      </c>
      <c r="H404" s="12" t="n">
        <v>0</v>
      </c>
      <c r="I404" s="12" t="n">
        <v>1</v>
      </c>
      <c r="J404" s="12" t="s">
        <v>113</v>
      </c>
      <c r="K404" s="12" t="s">
        <v>388</v>
      </c>
      <c r="L404" s="12" t="s">
        <v>389</v>
      </c>
    </row>
    <row r="405" customFormat="false" ht="15" hidden="false" customHeight="false" outlineLevel="0" collapsed="false">
      <c r="A405" s="12" t="s">
        <v>1057</v>
      </c>
      <c r="B405" s="12" t="s">
        <v>287</v>
      </c>
      <c r="C405" s="12" t="s">
        <v>283</v>
      </c>
      <c r="D405" s="12" t="s">
        <v>67</v>
      </c>
      <c r="E405" s="12" t="s">
        <v>396</v>
      </c>
      <c r="F405" s="12" t="s">
        <v>397</v>
      </c>
      <c r="G405" s="12" t="n">
        <v>4</v>
      </c>
      <c r="H405" s="12" t="n">
        <v>0</v>
      </c>
      <c r="I405" s="12" t="n">
        <v>1</v>
      </c>
      <c r="J405" s="12" t="s">
        <v>113</v>
      </c>
      <c r="K405" s="12" t="s">
        <v>388</v>
      </c>
      <c r="L405" s="12" t="s">
        <v>389</v>
      </c>
    </row>
    <row r="406" customFormat="false" ht="15" hidden="false" customHeight="false" outlineLevel="0" collapsed="false">
      <c r="A406" s="12" t="s">
        <v>1058</v>
      </c>
      <c r="B406" s="12" t="s">
        <v>287</v>
      </c>
      <c r="C406" s="12" t="s">
        <v>283</v>
      </c>
      <c r="D406" s="12" t="s">
        <v>67</v>
      </c>
      <c r="E406" s="12" t="s">
        <v>400</v>
      </c>
      <c r="F406" s="12" t="s">
        <v>401</v>
      </c>
      <c r="G406" s="12" t="n">
        <v>7</v>
      </c>
      <c r="H406" s="12" t="n">
        <v>0</v>
      </c>
      <c r="I406" s="12" t="n">
        <v>2</v>
      </c>
      <c r="J406" s="12" t="s">
        <v>113</v>
      </c>
      <c r="K406" s="12" t="s">
        <v>388</v>
      </c>
      <c r="L406" s="12" t="s">
        <v>389</v>
      </c>
    </row>
    <row r="407" customFormat="false" ht="15" hidden="false" customHeight="false" outlineLevel="0" collapsed="false">
      <c r="A407" s="12" t="s">
        <v>1059</v>
      </c>
      <c r="B407" s="12" t="s">
        <v>287</v>
      </c>
      <c r="C407" s="12" t="s">
        <v>283</v>
      </c>
      <c r="D407" s="12" t="s">
        <v>67</v>
      </c>
      <c r="E407" s="12" t="s">
        <v>408</v>
      </c>
      <c r="F407" s="12" t="s">
        <v>409</v>
      </c>
      <c r="G407" s="12" t="n">
        <v>6</v>
      </c>
      <c r="H407" s="12" t="n">
        <v>0</v>
      </c>
      <c r="I407" s="12" t="n">
        <v>1</v>
      </c>
      <c r="J407" s="12" t="s">
        <v>113</v>
      </c>
      <c r="K407" s="12" t="s">
        <v>388</v>
      </c>
      <c r="L407" s="12" t="s">
        <v>389</v>
      </c>
    </row>
    <row r="408" customFormat="false" ht="15" hidden="false" customHeight="false" outlineLevel="0" collapsed="false">
      <c r="A408" s="12" t="s">
        <v>1060</v>
      </c>
      <c r="B408" s="12" t="s">
        <v>287</v>
      </c>
      <c r="C408" s="12" t="s">
        <v>283</v>
      </c>
      <c r="D408" s="12" t="s">
        <v>67</v>
      </c>
      <c r="E408" s="12" t="s">
        <v>412</v>
      </c>
      <c r="F408" s="12" t="s">
        <v>413</v>
      </c>
      <c r="G408" s="12" t="n">
        <v>6</v>
      </c>
      <c r="H408" s="12" t="n">
        <v>0</v>
      </c>
      <c r="I408" s="12" t="n">
        <v>1</v>
      </c>
      <c r="J408" s="12" t="s">
        <v>113</v>
      </c>
      <c r="K408" s="12" t="s">
        <v>388</v>
      </c>
      <c r="L408" s="12" t="s">
        <v>389</v>
      </c>
    </row>
    <row r="409" customFormat="false" ht="15" hidden="false" customHeight="false" outlineLevel="0" collapsed="false">
      <c r="A409" s="12" t="s">
        <v>1061</v>
      </c>
      <c r="B409" s="12" t="s">
        <v>287</v>
      </c>
      <c r="C409" s="12" t="s">
        <v>283</v>
      </c>
      <c r="D409" s="12" t="s">
        <v>67</v>
      </c>
      <c r="E409" s="12" t="s">
        <v>414</v>
      </c>
      <c r="F409" s="12" t="s">
        <v>415</v>
      </c>
      <c r="G409" s="12" t="n">
        <v>2</v>
      </c>
      <c r="H409" s="12" t="n">
        <v>1</v>
      </c>
      <c r="I409" s="12" t="n">
        <v>2</v>
      </c>
      <c r="J409" s="12" t="s">
        <v>113</v>
      </c>
      <c r="K409" s="12" t="s">
        <v>417</v>
      </c>
      <c r="L409" s="12" t="s">
        <v>418</v>
      </c>
    </row>
    <row r="410" customFormat="false" ht="15" hidden="false" customHeight="false" outlineLevel="0" collapsed="false">
      <c r="A410" s="12" t="s">
        <v>1062</v>
      </c>
      <c r="B410" s="12" t="s">
        <v>287</v>
      </c>
      <c r="C410" s="12" t="s">
        <v>283</v>
      </c>
      <c r="D410" s="12" t="s">
        <v>67</v>
      </c>
      <c r="E410" s="12" t="s">
        <v>453</v>
      </c>
      <c r="F410" s="12" t="s">
        <v>454</v>
      </c>
      <c r="G410" s="12" t="n">
        <v>2</v>
      </c>
      <c r="H410" s="12" t="n">
        <v>0</v>
      </c>
      <c r="I410" s="12" t="n">
        <v>1</v>
      </c>
      <c r="J410" s="12" t="s">
        <v>118</v>
      </c>
      <c r="K410" s="12" t="s">
        <v>456</v>
      </c>
      <c r="L410" s="12" t="s">
        <v>389</v>
      </c>
    </row>
    <row r="411" customFormat="false" ht="15" hidden="false" customHeight="false" outlineLevel="0" collapsed="false">
      <c r="A411" s="12" t="s">
        <v>1063</v>
      </c>
      <c r="B411" s="12" t="s">
        <v>287</v>
      </c>
      <c r="C411" s="12" t="s">
        <v>283</v>
      </c>
      <c r="D411" s="12" t="s">
        <v>67</v>
      </c>
      <c r="E411" s="12" t="s">
        <v>458</v>
      </c>
      <c r="F411" s="12" t="s">
        <v>459</v>
      </c>
      <c r="G411" s="12" t="n">
        <v>1</v>
      </c>
      <c r="H411" s="12" t="n">
        <v>0</v>
      </c>
      <c r="I411" s="12" t="n">
        <v>1</v>
      </c>
      <c r="J411" s="12" t="s">
        <v>118</v>
      </c>
      <c r="K411" s="12" t="s">
        <v>460</v>
      </c>
      <c r="L411" s="12" t="s">
        <v>389</v>
      </c>
    </row>
    <row r="412" customFormat="false" ht="15" hidden="false" customHeight="false" outlineLevel="0" collapsed="false">
      <c r="A412" s="12" t="s">
        <v>1064</v>
      </c>
      <c r="B412" s="12" t="s">
        <v>287</v>
      </c>
      <c r="C412" s="12" t="s">
        <v>283</v>
      </c>
      <c r="D412" s="12" t="s">
        <v>67</v>
      </c>
      <c r="E412" s="12" t="s">
        <v>463</v>
      </c>
      <c r="F412" s="12" t="s">
        <v>464</v>
      </c>
      <c r="G412" s="12" t="n">
        <v>1</v>
      </c>
      <c r="H412" s="12" t="n">
        <v>0</v>
      </c>
      <c r="I412" s="12" t="n">
        <v>1</v>
      </c>
      <c r="J412" s="12" t="s">
        <v>118</v>
      </c>
      <c r="K412" s="12" t="s">
        <v>465</v>
      </c>
      <c r="L412" s="12" t="s">
        <v>418</v>
      </c>
    </row>
    <row r="413" customFormat="false" ht="15" hidden="false" customHeight="false" outlineLevel="0" collapsed="false">
      <c r="A413" s="12" t="s">
        <v>1065</v>
      </c>
      <c r="B413" s="12" t="s">
        <v>287</v>
      </c>
      <c r="C413" s="12" t="s">
        <v>283</v>
      </c>
      <c r="D413" s="12" t="s">
        <v>67</v>
      </c>
      <c r="E413" s="12" t="s">
        <v>468</v>
      </c>
      <c r="F413" s="12" t="s">
        <v>469</v>
      </c>
      <c r="G413" s="12" t="n">
        <v>4</v>
      </c>
      <c r="H413" s="12" t="n">
        <v>0</v>
      </c>
      <c r="I413" s="12" t="n">
        <v>1</v>
      </c>
      <c r="J413" s="12" t="s">
        <v>118</v>
      </c>
      <c r="K413" s="12" t="s">
        <v>470</v>
      </c>
      <c r="L413" s="12" t="s">
        <v>418</v>
      </c>
    </row>
    <row r="414" customFormat="false" ht="15" hidden="false" customHeight="false" outlineLevel="0" collapsed="false">
      <c r="A414" s="12" t="s">
        <v>1066</v>
      </c>
      <c r="B414" s="12" t="s">
        <v>287</v>
      </c>
      <c r="C414" s="12" t="s">
        <v>283</v>
      </c>
      <c r="D414" s="12" t="s">
        <v>67</v>
      </c>
      <c r="E414" s="12" t="s">
        <v>472</v>
      </c>
      <c r="F414" s="12" t="s">
        <v>473</v>
      </c>
      <c r="G414" s="12" t="n">
        <v>1</v>
      </c>
      <c r="H414" s="12" t="n">
        <v>0</v>
      </c>
      <c r="I414" s="12" t="n">
        <v>1</v>
      </c>
      <c r="J414" s="12" t="s">
        <v>118</v>
      </c>
      <c r="K414" s="12" t="s">
        <v>474</v>
      </c>
      <c r="L414" s="12" t="s">
        <v>418</v>
      </c>
    </row>
    <row r="415" customFormat="false" ht="15" hidden="false" customHeight="false" outlineLevel="0" collapsed="false">
      <c r="A415" s="12" t="s">
        <v>1067</v>
      </c>
      <c r="B415" s="12" t="s">
        <v>287</v>
      </c>
      <c r="C415" s="12" t="s">
        <v>283</v>
      </c>
      <c r="D415" s="12" t="s">
        <v>67</v>
      </c>
      <c r="E415" s="12" t="s">
        <v>478</v>
      </c>
      <c r="F415" s="12" t="s">
        <v>479</v>
      </c>
      <c r="G415" s="12" t="n">
        <v>1</v>
      </c>
      <c r="H415" s="12" t="n">
        <v>0</v>
      </c>
      <c r="I415" s="12" t="n">
        <v>1</v>
      </c>
      <c r="J415" s="12" t="s">
        <v>480</v>
      </c>
      <c r="K415" s="12" t="s">
        <v>388</v>
      </c>
      <c r="L415" s="12" t="s">
        <v>389</v>
      </c>
    </row>
    <row r="416" customFormat="false" ht="15" hidden="false" customHeight="false" outlineLevel="0" collapsed="false">
      <c r="A416" s="12" t="s">
        <v>1068</v>
      </c>
      <c r="B416" s="12" t="s">
        <v>291</v>
      </c>
      <c r="C416" s="12" t="s">
        <v>283</v>
      </c>
      <c r="D416" s="12" t="s">
        <v>67</v>
      </c>
      <c r="E416" s="12" t="s">
        <v>384</v>
      </c>
      <c r="F416" s="12" t="s">
        <v>385</v>
      </c>
      <c r="G416" s="12" t="n">
        <v>7</v>
      </c>
      <c r="H416" s="12" t="n">
        <v>0</v>
      </c>
      <c r="I416" s="12" t="n">
        <v>2</v>
      </c>
      <c r="J416" s="12" t="s">
        <v>113</v>
      </c>
      <c r="K416" s="12" t="s">
        <v>388</v>
      </c>
      <c r="L416" s="12" t="s">
        <v>389</v>
      </c>
    </row>
    <row r="417" customFormat="false" ht="15" hidden="false" customHeight="false" outlineLevel="0" collapsed="false">
      <c r="A417" s="12" t="s">
        <v>1069</v>
      </c>
      <c r="B417" s="12" t="s">
        <v>291</v>
      </c>
      <c r="C417" s="12" t="s">
        <v>283</v>
      </c>
      <c r="D417" s="12" t="s">
        <v>67</v>
      </c>
      <c r="E417" s="12" t="s">
        <v>392</v>
      </c>
      <c r="F417" s="12" t="s">
        <v>393</v>
      </c>
      <c r="G417" s="12" t="n">
        <v>6</v>
      </c>
      <c r="H417" s="12" t="n">
        <v>0</v>
      </c>
      <c r="I417" s="12" t="n">
        <v>1</v>
      </c>
      <c r="J417" s="12" t="s">
        <v>113</v>
      </c>
      <c r="K417" s="12" t="s">
        <v>388</v>
      </c>
      <c r="L417" s="12" t="s">
        <v>389</v>
      </c>
    </row>
    <row r="418" customFormat="false" ht="15" hidden="false" customHeight="false" outlineLevel="0" collapsed="false">
      <c r="A418" s="12" t="s">
        <v>1070</v>
      </c>
      <c r="B418" s="12" t="s">
        <v>291</v>
      </c>
      <c r="C418" s="12" t="s">
        <v>283</v>
      </c>
      <c r="D418" s="12" t="s">
        <v>67</v>
      </c>
      <c r="E418" s="12" t="s">
        <v>396</v>
      </c>
      <c r="F418" s="12" t="s">
        <v>397</v>
      </c>
      <c r="G418" s="12" t="n">
        <v>4</v>
      </c>
      <c r="H418" s="12" t="n">
        <v>0</v>
      </c>
      <c r="I418" s="12" t="n">
        <v>1</v>
      </c>
      <c r="J418" s="12" t="s">
        <v>113</v>
      </c>
      <c r="K418" s="12" t="s">
        <v>388</v>
      </c>
      <c r="L418" s="12" t="s">
        <v>389</v>
      </c>
    </row>
    <row r="419" customFormat="false" ht="15" hidden="false" customHeight="false" outlineLevel="0" collapsed="false">
      <c r="A419" s="12" t="s">
        <v>1071</v>
      </c>
      <c r="B419" s="12" t="s">
        <v>291</v>
      </c>
      <c r="C419" s="12" t="s">
        <v>283</v>
      </c>
      <c r="D419" s="12" t="s">
        <v>67</v>
      </c>
      <c r="E419" s="12" t="s">
        <v>400</v>
      </c>
      <c r="F419" s="12" t="s">
        <v>401</v>
      </c>
      <c r="G419" s="12" t="n">
        <v>7</v>
      </c>
      <c r="H419" s="12" t="n">
        <v>0</v>
      </c>
      <c r="I419" s="12" t="n">
        <v>2</v>
      </c>
      <c r="J419" s="12" t="s">
        <v>113</v>
      </c>
      <c r="K419" s="12" t="s">
        <v>388</v>
      </c>
      <c r="L419" s="12" t="s">
        <v>389</v>
      </c>
    </row>
    <row r="420" customFormat="false" ht="15" hidden="false" customHeight="false" outlineLevel="0" collapsed="false">
      <c r="A420" s="12" t="s">
        <v>1072</v>
      </c>
      <c r="B420" s="12" t="s">
        <v>291</v>
      </c>
      <c r="C420" s="12" t="s">
        <v>283</v>
      </c>
      <c r="D420" s="12" t="s">
        <v>67</v>
      </c>
      <c r="E420" s="12" t="s">
        <v>408</v>
      </c>
      <c r="F420" s="12" t="s">
        <v>409</v>
      </c>
      <c r="G420" s="12" t="n">
        <v>6</v>
      </c>
      <c r="H420" s="12" t="n">
        <v>0</v>
      </c>
      <c r="I420" s="12" t="n">
        <v>1</v>
      </c>
      <c r="J420" s="12" t="s">
        <v>113</v>
      </c>
      <c r="K420" s="12" t="s">
        <v>388</v>
      </c>
      <c r="L420" s="12" t="s">
        <v>389</v>
      </c>
    </row>
    <row r="421" customFormat="false" ht="15" hidden="false" customHeight="false" outlineLevel="0" collapsed="false">
      <c r="A421" s="12" t="s">
        <v>1073</v>
      </c>
      <c r="B421" s="12" t="s">
        <v>291</v>
      </c>
      <c r="C421" s="12" t="s">
        <v>283</v>
      </c>
      <c r="D421" s="12" t="s">
        <v>67</v>
      </c>
      <c r="E421" s="12" t="s">
        <v>412</v>
      </c>
      <c r="F421" s="12" t="s">
        <v>413</v>
      </c>
      <c r="G421" s="12" t="n">
        <v>6</v>
      </c>
      <c r="H421" s="12" t="n">
        <v>0</v>
      </c>
      <c r="I421" s="12" t="n">
        <v>1</v>
      </c>
      <c r="J421" s="12" t="s">
        <v>113</v>
      </c>
      <c r="K421" s="12" t="s">
        <v>388</v>
      </c>
      <c r="L421" s="12" t="s">
        <v>389</v>
      </c>
    </row>
    <row r="422" customFormat="false" ht="15" hidden="false" customHeight="false" outlineLevel="0" collapsed="false">
      <c r="A422" s="12" t="s">
        <v>1074</v>
      </c>
      <c r="B422" s="12" t="s">
        <v>291</v>
      </c>
      <c r="C422" s="12" t="s">
        <v>283</v>
      </c>
      <c r="D422" s="12" t="s">
        <v>67</v>
      </c>
      <c r="E422" s="12" t="s">
        <v>414</v>
      </c>
      <c r="F422" s="12" t="s">
        <v>415</v>
      </c>
      <c r="G422" s="12" t="n">
        <v>2</v>
      </c>
      <c r="H422" s="12" t="n">
        <v>1</v>
      </c>
      <c r="I422" s="12" t="n">
        <v>2</v>
      </c>
      <c r="J422" s="12" t="s">
        <v>113</v>
      </c>
      <c r="K422" s="12" t="s">
        <v>417</v>
      </c>
      <c r="L422" s="12" t="s">
        <v>418</v>
      </c>
    </row>
    <row r="423" customFormat="false" ht="15" hidden="false" customHeight="false" outlineLevel="0" collapsed="false">
      <c r="A423" s="12" t="s">
        <v>1075</v>
      </c>
      <c r="B423" s="12" t="s">
        <v>291</v>
      </c>
      <c r="C423" s="12" t="s">
        <v>283</v>
      </c>
      <c r="D423" s="12" t="s">
        <v>67</v>
      </c>
      <c r="E423" s="12" t="s">
        <v>453</v>
      </c>
      <c r="F423" s="12" t="s">
        <v>454</v>
      </c>
      <c r="G423" s="12" t="n">
        <v>2</v>
      </c>
      <c r="H423" s="12" t="n">
        <v>0</v>
      </c>
      <c r="I423" s="12" t="n">
        <v>1</v>
      </c>
      <c r="J423" s="12" t="s">
        <v>118</v>
      </c>
      <c r="K423" s="12" t="s">
        <v>456</v>
      </c>
      <c r="L423" s="12" t="s">
        <v>389</v>
      </c>
    </row>
    <row r="424" customFormat="false" ht="15" hidden="false" customHeight="false" outlineLevel="0" collapsed="false">
      <c r="A424" s="12" t="s">
        <v>1076</v>
      </c>
      <c r="B424" s="12" t="s">
        <v>291</v>
      </c>
      <c r="C424" s="12" t="s">
        <v>283</v>
      </c>
      <c r="D424" s="12" t="s">
        <v>67</v>
      </c>
      <c r="E424" s="12" t="s">
        <v>458</v>
      </c>
      <c r="F424" s="12" t="s">
        <v>459</v>
      </c>
      <c r="G424" s="12" t="n">
        <v>1</v>
      </c>
      <c r="H424" s="12" t="n">
        <v>0</v>
      </c>
      <c r="I424" s="12" t="n">
        <v>1</v>
      </c>
      <c r="J424" s="12" t="s">
        <v>118</v>
      </c>
      <c r="K424" s="12" t="s">
        <v>460</v>
      </c>
      <c r="L424" s="12" t="s">
        <v>389</v>
      </c>
    </row>
    <row r="425" customFormat="false" ht="15" hidden="false" customHeight="false" outlineLevel="0" collapsed="false">
      <c r="A425" s="12" t="s">
        <v>1077</v>
      </c>
      <c r="B425" s="12" t="s">
        <v>291</v>
      </c>
      <c r="C425" s="12" t="s">
        <v>283</v>
      </c>
      <c r="D425" s="12" t="s">
        <v>67</v>
      </c>
      <c r="E425" s="12" t="s">
        <v>463</v>
      </c>
      <c r="F425" s="12" t="s">
        <v>464</v>
      </c>
      <c r="G425" s="12" t="n">
        <v>1</v>
      </c>
      <c r="H425" s="12" t="n">
        <v>0</v>
      </c>
      <c r="I425" s="12" t="n">
        <v>1</v>
      </c>
      <c r="J425" s="12" t="s">
        <v>118</v>
      </c>
      <c r="K425" s="12" t="s">
        <v>465</v>
      </c>
      <c r="L425" s="12" t="s">
        <v>418</v>
      </c>
    </row>
    <row r="426" customFormat="false" ht="15" hidden="false" customHeight="false" outlineLevel="0" collapsed="false">
      <c r="A426" s="12" t="s">
        <v>1078</v>
      </c>
      <c r="B426" s="12" t="s">
        <v>291</v>
      </c>
      <c r="C426" s="12" t="s">
        <v>283</v>
      </c>
      <c r="D426" s="12" t="s">
        <v>67</v>
      </c>
      <c r="E426" s="12" t="s">
        <v>468</v>
      </c>
      <c r="F426" s="12" t="s">
        <v>469</v>
      </c>
      <c r="G426" s="12" t="n">
        <v>4</v>
      </c>
      <c r="H426" s="12" t="n">
        <v>0</v>
      </c>
      <c r="I426" s="12" t="n">
        <v>1</v>
      </c>
      <c r="J426" s="12" t="s">
        <v>118</v>
      </c>
      <c r="K426" s="12" t="s">
        <v>470</v>
      </c>
      <c r="L426" s="12" t="s">
        <v>418</v>
      </c>
    </row>
    <row r="427" customFormat="false" ht="15" hidden="false" customHeight="false" outlineLevel="0" collapsed="false">
      <c r="A427" s="12" t="s">
        <v>1079</v>
      </c>
      <c r="B427" s="12" t="s">
        <v>291</v>
      </c>
      <c r="C427" s="12" t="s">
        <v>283</v>
      </c>
      <c r="D427" s="12" t="s">
        <v>67</v>
      </c>
      <c r="E427" s="12" t="s">
        <v>472</v>
      </c>
      <c r="F427" s="12" t="s">
        <v>473</v>
      </c>
      <c r="G427" s="12" t="n">
        <v>1</v>
      </c>
      <c r="H427" s="12" t="n">
        <v>0</v>
      </c>
      <c r="I427" s="12" t="n">
        <v>1</v>
      </c>
      <c r="J427" s="12" t="s">
        <v>118</v>
      </c>
      <c r="K427" s="12" t="s">
        <v>474</v>
      </c>
      <c r="L427" s="12" t="s">
        <v>418</v>
      </c>
    </row>
    <row r="428" customFormat="false" ht="15" hidden="false" customHeight="false" outlineLevel="0" collapsed="false">
      <c r="A428" s="12" t="s">
        <v>1080</v>
      </c>
      <c r="B428" s="12" t="s">
        <v>291</v>
      </c>
      <c r="C428" s="12" t="s">
        <v>283</v>
      </c>
      <c r="D428" s="12" t="s">
        <v>67</v>
      </c>
      <c r="E428" s="12" t="s">
        <v>478</v>
      </c>
      <c r="F428" s="12" t="s">
        <v>479</v>
      </c>
      <c r="G428" s="12" t="n">
        <v>1</v>
      </c>
      <c r="H428" s="12" t="n">
        <v>0</v>
      </c>
      <c r="I428" s="12" t="n">
        <v>1</v>
      </c>
      <c r="J428" s="12" t="s">
        <v>480</v>
      </c>
      <c r="K428" s="12" t="s">
        <v>388</v>
      </c>
      <c r="L428" s="12" t="s">
        <v>389</v>
      </c>
    </row>
    <row r="429" customFormat="false" ht="15" hidden="false" customHeight="false" outlineLevel="0" collapsed="false">
      <c r="A429" s="12" t="s">
        <v>1081</v>
      </c>
      <c r="B429" s="12" t="s">
        <v>295</v>
      </c>
      <c r="C429" s="12" t="s">
        <v>296</v>
      </c>
      <c r="D429" s="12" t="s">
        <v>70</v>
      </c>
      <c r="E429" s="12" t="s">
        <v>384</v>
      </c>
      <c r="F429" s="12" t="s">
        <v>385</v>
      </c>
      <c r="G429" s="12" t="n">
        <v>8</v>
      </c>
      <c r="H429" s="12" t="n">
        <v>0</v>
      </c>
      <c r="I429" s="12" t="n">
        <v>2</v>
      </c>
      <c r="J429" s="12" t="s">
        <v>113</v>
      </c>
      <c r="K429" s="12" t="s">
        <v>388</v>
      </c>
      <c r="L429" s="12" t="s">
        <v>389</v>
      </c>
    </row>
    <row r="430" customFormat="false" ht="15" hidden="false" customHeight="false" outlineLevel="0" collapsed="false">
      <c r="A430" s="12" t="s">
        <v>1082</v>
      </c>
      <c r="B430" s="12" t="s">
        <v>295</v>
      </c>
      <c r="C430" s="12" t="s">
        <v>296</v>
      </c>
      <c r="D430" s="12" t="s">
        <v>70</v>
      </c>
      <c r="E430" s="12" t="s">
        <v>392</v>
      </c>
      <c r="F430" s="12" t="s">
        <v>393</v>
      </c>
      <c r="G430" s="12" t="n">
        <v>6</v>
      </c>
      <c r="H430" s="12" t="n">
        <v>0</v>
      </c>
      <c r="I430" s="12" t="n">
        <v>1</v>
      </c>
      <c r="J430" s="12" t="s">
        <v>113</v>
      </c>
      <c r="K430" s="12" t="s">
        <v>388</v>
      </c>
      <c r="L430" s="12" t="s">
        <v>389</v>
      </c>
    </row>
    <row r="431" customFormat="false" ht="15" hidden="false" customHeight="false" outlineLevel="0" collapsed="false">
      <c r="A431" s="12" t="s">
        <v>1083</v>
      </c>
      <c r="B431" s="12" t="s">
        <v>295</v>
      </c>
      <c r="C431" s="12" t="s">
        <v>296</v>
      </c>
      <c r="D431" s="12" t="s">
        <v>70</v>
      </c>
      <c r="E431" s="12" t="s">
        <v>400</v>
      </c>
      <c r="F431" s="12" t="s">
        <v>401</v>
      </c>
      <c r="G431" s="12" t="n">
        <v>8</v>
      </c>
      <c r="H431" s="12" t="n">
        <v>0</v>
      </c>
      <c r="I431" s="12" t="n">
        <v>2</v>
      </c>
      <c r="J431" s="12" t="s">
        <v>113</v>
      </c>
      <c r="K431" s="12" t="s">
        <v>388</v>
      </c>
      <c r="L431" s="12" t="s">
        <v>389</v>
      </c>
    </row>
    <row r="432" customFormat="false" ht="15" hidden="false" customHeight="false" outlineLevel="0" collapsed="false">
      <c r="A432" s="12" t="s">
        <v>1084</v>
      </c>
      <c r="B432" s="12" t="s">
        <v>295</v>
      </c>
      <c r="C432" s="12" t="s">
        <v>296</v>
      </c>
      <c r="D432" s="12" t="s">
        <v>70</v>
      </c>
      <c r="E432" s="12" t="s">
        <v>408</v>
      </c>
      <c r="F432" s="12" t="s">
        <v>409</v>
      </c>
      <c r="G432" s="12" t="n">
        <v>8</v>
      </c>
      <c r="H432" s="12" t="n">
        <v>1</v>
      </c>
      <c r="I432" s="12" t="n">
        <v>2</v>
      </c>
      <c r="J432" s="12" t="s">
        <v>113</v>
      </c>
      <c r="K432" s="12" t="s">
        <v>388</v>
      </c>
      <c r="L432" s="12" t="s">
        <v>389</v>
      </c>
    </row>
    <row r="433" customFormat="false" ht="15" hidden="false" customHeight="false" outlineLevel="0" collapsed="false">
      <c r="A433" s="12" t="s">
        <v>1085</v>
      </c>
      <c r="B433" s="12" t="s">
        <v>295</v>
      </c>
      <c r="C433" s="12" t="s">
        <v>296</v>
      </c>
      <c r="D433" s="12" t="s">
        <v>70</v>
      </c>
      <c r="E433" s="12" t="s">
        <v>412</v>
      </c>
      <c r="F433" s="12" t="s">
        <v>413</v>
      </c>
      <c r="G433" s="12" t="n">
        <v>7</v>
      </c>
      <c r="H433" s="12" t="n">
        <v>0</v>
      </c>
      <c r="I433" s="12" t="n">
        <v>2</v>
      </c>
      <c r="J433" s="12" t="s">
        <v>113</v>
      </c>
      <c r="K433" s="12" t="s">
        <v>388</v>
      </c>
      <c r="L433" s="12" t="s">
        <v>389</v>
      </c>
    </row>
    <row r="434" customFormat="false" ht="15" hidden="false" customHeight="false" outlineLevel="0" collapsed="false">
      <c r="A434" s="12" t="s">
        <v>1086</v>
      </c>
      <c r="B434" s="12" t="s">
        <v>295</v>
      </c>
      <c r="C434" s="12" t="s">
        <v>296</v>
      </c>
      <c r="D434" s="12" t="s">
        <v>70</v>
      </c>
      <c r="E434" s="12" t="s">
        <v>414</v>
      </c>
      <c r="F434" s="12" t="s">
        <v>415</v>
      </c>
      <c r="G434" s="12" t="n">
        <v>3</v>
      </c>
      <c r="H434" s="12" t="n">
        <v>1</v>
      </c>
      <c r="I434" s="12" t="n">
        <v>2</v>
      </c>
      <c r="J434" s="12" t="s">
        <v>113</v>
      </c>
      <c r="K434" s="12" t="s">
        <v>417</v>
      </c>
      <c r="L434" s="12" t="s">
        <v>418</v>
      </c>
    </row>
    <row r="435" customFormat="false" ht="15" hidden="false" customHeight="false" outlineLevel="0" collapsed="false">
      <c r="A435" s="12" t="s">
        <v>1087</v>
      </c>
      <c r="B435" s="12" t="s">
        <v>295</v>
      </c>
      <c r="C435" s="12" t="s">
        <v>296</v>
      </c>
      <c r="D435" s="12" t="s">
        <v>70</v>
      </c>
      <c r="E435" s="12" t="s">
        <v>468</v>
      </c>
      <c r="F435" s="12" t="s">
        <v>469</v>
      </c>
      <c r="G435" s="12" t="n">
        <v>4</v>
      </c>
      <c r="H435" s="12" t="n">
        <v>0</v>
      </c>
      <c r="I435" s="12" t="n">
        <v>1</v>
      </c>
      <c r="J435" s="12" t="s">
        <v>118</v>
      </c>
      <c r="K435" s="12" t="s">
        <v>470</v>
      </c>
      <c r="L435" s="12" t="s">
        <v>418</v>
      </c>
    </row>
    <row r="436" customFormat="false" ht="15" hidden="false" customHeight="false" outlineLevel="0" collapsed="false">
      <c r="A436" s="12" t="s">
        <v>1088</v>
      </c>
      <c r="B436" s="12" t="s">
        <v>295</v>
      </c>
      <c r="C436" s="12" t="s">
        <v>296</v>
      </c>
      <c r="D436" s="12" t="s">
        <v>70</v>
      </c>
      <c r="E436" s="12" t="s">
        <v>453</v>
      </c>
      <c r="F436" s="12" t="s">
        <v>454</v>
      </c>
      <c r="G436" s="12" t="n">
        <v>2</v>
      </c>
      <c r="H436" s="12" t="n">
        <v>0</v>
      </c>
      <c r="I436" s="12" t="n">
        <v>1</v>
      </c>
      <c r="J436" s="12" t="s">
        <v>118</v>
      </c>
      <c r="K436" s="12" t="s">
        <v>456</v>
      </c>
      <c r="L436" s="12" t="s">
        <v>389</v>
      </c>
    </row>
    <row r="437" customFormat="false" ht="15" hidden="false" customHeight="false" outlineLevel="0" collapsed="false">
      <c r="A437" s="12" t="s">
        <v>1089</v>
      </c>
      <c r="B437" s="12" t="s">
        <v>295</v>
      </c>
      <c r="C437" s="12" t="s">
        <v>296</v>
      </c>
      <c r="D437" s="12" t="s">
        <v>70</v>
      </c>
      <c r="E437" s="12" t="s">
        <v>472</v>
      </c>
      <c r="F437" s="12" t="s">
        <v>473</v>
      </c>
      <c r="G437" s="12" t="n">
        <v>1</v>
      </c>
      <c r="H437" s="12" t="n">
        <v>0</v>
      </c>
      <c r="I437" s="12" t="n">
        <v>1</v>
      </c>
      <c r="J437" s="12" t="s">
        <v>118</v>
      </c>
      <c r="K437" s="12" t="s">
        <v>474</v>
      </c>
      <c r="L437" s="12" t="s">
        <v>418</v>
      </c>
    </row>
    <row r="438" customFormat="false" ht="15" hidden="false" customHeight="false" outlineLevel="0" collapsed="false">
      <c r="A438" s="12" t="s">
        <v>1090</v>
      </c>
      <c r="B438" s="12" t="s">
        <v>295</v>
      </c>
      <c r="C438" s="12" t="s">
        <v>296</v>
      </c>
      <c r="D438" s="12" t="s">
        <v>70</v>
      </c>
      <c r="E438" s="12" t="s">
        <v>478</v>
      </c>
      <c r="F438" s="12" t="s">
        <v>479</v>
      </c>
      <c r="G438" s="12" t="n">
        <v>1</v>
      </c>
      <c r="H438" s="12" t="n">
        <v>0</v>
      </c>
      <c r="I438" s="12" t="n">
        <v>1</v>
      </c>
      <c r="J438" s="12" t="s">
        <v>480</v>
      </c>
      <c r="K438" s="12" t="s">
        <v>388</v>
      </c>
      <c r="L438" s="12" t="s">
        <v>389</v>
      </c>
    </row>
    <row r="439" customFormat="false" ht="15" hidden="false" customHeight="false" outlineLevel="0" collapsed="false">
      <c r="A439" s="12" t="s">
        <v>1091</v>
      </c>
      <c r="B439" s="12" t="s">
        <v>300</v>
      </c>
      <c r="C439" s="12" t="s">
        <v>296</v>
      </c>
      <c r="D439" s="12" t="s">
        <v>70</v>
      </c>
      <c r="E439" s="12" t="s">
        <v>384</v>
      </c>
      <c r="F439" s="12" t="s">
        <v>385</v>
      </c>
      <c r="G439" s="12" t="n">
        <v>8</v>
      </c>
      <c r="H439" s="12" t="n">
        <v>0</v>
      </c>
      <c r="I439" s="12" t="n">
        <v>2</v>
      </c>
      <c r="J439" s="12" t="s">
        <v>113</v>
      </c>
      <c r="K439" s="12" t="s">
        <v>388</v>
      </c>
      <c r="L439" s="12" t="s">
        <v>389</v>
      </c>
    </row>
    <row r="440" customFormat="false" ht="15" hidden="false" customHeight="false" outlineLevel="0" collapsed="false">
      <c r="A440" s="12" t="s">
        <v>1092</v>
      </c>
      <c r="B440" s="12" t="s">
        <v>300</v>
      </c>
      <c r="C440" s="12" t="s">
        <v>296</v>
      </c>
      <c r="D440" s="12" t="s">
        <v>70</v>
      </c>
      <c r="E440" s="12" t="s">
        <v>392</v>
      </c>
      <c r="F440" s="12" t="s">
        <v>393</v>
      </c>
      <c r="G440" s="12" t="n">
        <v>6</v>
      </c>
      <c r="H440" s="12" t="n">
        <v>0</v>
      </c>
      <c r="I440" s="12" t="n">
        <v>1</v>
      </c>
      <c r="J440" s="12" t="s">
        <v>113</v>
      </c>
      <c r="K440" s="12" t="s">
        <v>388</v>
      </c>
      <c r="L440" s="12" t="s">
        <v>389</v>
      </c>
    </row>
    <row r="441" customFormat="false" ht="15" hidden="false" customHeight="false" outlineLevel="0" collapsed="false">
      <c r="A441" s="12" t="s">
        <v>1093</v>
      </c>
      <c r="B441" s="12" t="s">
        <v>300</v>
      </c>
      <c r="C441" s="12" t="s">
        <v>296</v>
      </c>
      <c r="D441" s="12" t="s">
        <v>70</v>
      </c>
      <c r="E441" s="12" t="s">
        <v>400</v>
      </c>
      <c r="F441" s="12" t="s">
        <v>401</v>
      </c>
      <c r="G441" s="12" t="n">
        <v>8</v>
      </c>
      <c r="H441" s="12" t="n">
        <v>0</v>
      </c>
      <c r="I441" s="12" t="n">
        <v>2</v>
      </c>
      <c r="J441" s="12" t="s">
        <v>113</v>
      </c>
      <c r="K441" s="12" t="s">
        <v>388</v>
      </c>
      <c r="L441" s="12" t="s">
        <v>389</v>
      </c>
    </row>
    <row r="442" customFormat="false" ht="15" hidden="false" customHeight="false" outlineLevel="0" collapsed="false">
      <c r="A442" s="12" t="s">
        <v>1094</v>
      </c>
      <c r="B442" s="12" t="s">
        <v>300</v>
      </c>
      <c r="C442" s="12" t="s">
        <v>296</v>
      </c>
      <c r="D442" s="12" t="s">
        <v>70</v>
      </c>
      <c r="E442" s="12" t="s">
        <v>408</v>
      </c>
      <c r="F442" s="12" t="s">
        <v>409</v>
      </c>
      <c r="G442" s="12" t="n">
        <v>8</v>
      </c>
      <c r="H442" s="12" t="n">
        <v>1</v>
      </c>
      <c r="I442" s="12" t="n">
        <v>2</v>
      </c>
      <c r="J442" s="12" t="s">
        <v>113</v>
      </c>
      <c r="K442" s="12" t="s">
        <v>388</v>
      </c>
      <c r="L442" s="12" t="s">
        <v>389</v>
      </c>
    </row>
    <row r="443" customFormat="false" ht="15" hidden="false" customHeight="false" outlineLevel="0" collapsed="false">
      <c r="A443" s="12" t="s">
        <v>1095</v>
      </c>
      <c r="B443" s="12" t="s">
        <v>300</v>
      </c>
      <c r="C443" s="12" t="s">
        <v>296</v>
      </c>
      <c r="D443" s="12" t="s">
        <v>70</v>
      </c>
      <c r="E443" s="12" t="s">
        <v>412</v>
      </c>
      <c r="F443" s="12" t="s">
        <v>413</v>
      </c>
      <c r="G443" s="12" t="n">
        <v>7</v>
      </c>
      <c r="H443" s="12" t="n">
        <v>0</v>
      </c>
      <c r="I443" s="12" t="n">
        <v>2</v>
      </c>
      <c r="J443" s="12" t="s">
        <v>113</v>
      </c>
      <c r="K443" s="12" t="s">
        <v>388</v>
      </c>
      <c r="L443" s="12" t="s">
        <v>389</v>
      </c>
    </row>
    <row r="444" customFormat="false" ht="15" hidden="false" customHeight="false" outlineLevel="0" collapsed="false">
      <c r="A444" s="12" t="s">
        <v>1096</v>
      </c>
      <c r="B444" s="12" t="s">
        <v>300</v>
      </c>
      <c r="C444" s="12" t="s">
        <v>296</v>
      </c>
      <c r="D444" s="12" t="s">
        <v>70</v>
      </c>
      <c r="E444" s="12" t="s">
        <v>414</v>
      </c>
      <c r="F444" s="12" t="s">
        <v>415</v>
      </c>
      <c r="G444" s="12" t="n">
        <v>3</v>
      </c>
      <c r="H444" s="12" t="n">
        <v>1</v>
      </c>
      <c r="I444" s="12" t="n">
        <v>2</v>
      </c>
      <c r="J444" s="12" t="s">
        <v>113</v>
      </c>
      <c r="K444" s="12" t="s">
        <v>417</v>
      </c>
      <c r="L444" s="12" t="s">
        <v>418</v>
      </c>
    </row>
    <row r="445" customFormat="false" ht="15" hidden="false" customHeight="false" outlineLevel="0" collapsed="false">
      <c r="A445" s="12" t="s">
        <v>1097</v>
      </c>
      <c r="B445" s="12" t="s">
        <v>300</v>
      </c>
      <c r="C445" s="12" t="s">
        <v>296</v>
      </c>
      <c r="D445" s="12" t="s">
        <v>70</v>
      </c>
      <c r="E445" s="12" t="s">
        <v>468</v>
      </c>
      <c r="F445" s="12" t="s">
        <v>469</v>
      </c>
      <c r="G445" s="12" t="n">
        <v>4</v>
      </c>
      <c r="H445" s="12" t="n">
        <v>0</v>
      </c>
      <c r="I445" s="12" t="n">
        <v>1</v>
      </c>
      <c r="J445" s="12" t="s">
        <v>118</v>
      </c>
      <c r="K445" s="12" t="s">
        <v>470</v>
      </c>
      <c r="L445" s="12" t="s">
        <v>418</v>
      </c>
    </row>
    <row r="446" customFormat="false" ht="15" hidden="false" customHeight="false" outlineLevel="0" collapsed="false">
      <c r="A446" s="12" t="s">
        <v>1098</v>
      </c>
      <c r="B446" s="12" t="s">
        <v>300</v>
      </c>
      <c r="C446" s="12" t="s">
        <v>296</v>
      </c>
      <c r="D446" s="12" t="s">
        <v>70</v>
      </c>
      <c r="E446" s="12" t="s">
        <v>453</v>
      </c>
      <c r="F446" s="12" t="s">
        <v>454</v>
      </c>
      <c r="G446" s="12" t="n">
        <v>2</v>
      </c>
      <c r="H446" s="12" t="n">
        <v>0</v>
      </c>
      <c r="I446" s="12" t="n">
        <v>1</v>
      </c>
      <c r="J446" s="12" t="s">
        <v>118</v>
      </c>
      <c r="K446" s="12" t="s">
        <v>456</v>
      </c>
      <c r="L446" s="12" t="s">
        <v>389</v>
      </c>
    </row>
    <row r="447" customFormat="false" ht="15" hidden="false" customHeight="false" outlineLevel="0" collapsed="false">
      <c r="A447" s="12" t="s">
        <v>1099</v>
      </c>
      <c r="B447" s="12" t="s">
        <v>300</v>
      </c>
      <c r="C447" s="12" t="s">
        <v>296</v>
      </c>
      <c r="D447" s="12" t="s">
        <v>70</v>
      </c>
      <c r="E447" s="12" t="s">
        <v>472</v>
      </c>
      <c r="F447" s="12" t="s">
        <v>473</v>
      </c>
      <c r="G447" s="12" t="n">
        <v>1</v>
      </c>
      <c r="H447" s="12" t="n">
        <v>0</v>
      </c>
      <c r="I447" s="12" t="n">
        <v>1</v>
      </c>
      <c r="J447" s="12" t="s">
        <v>118</v>
      </c>
      <c r="K447" s="12" t="s">
        <v>474</v>
      </c>
      <c r="L447" s="12" t="s">
        <v>418</v>
      </c>
    </row>
    <row r="448" customFormat="false" ht="15" hidden="false" customHeight="false" outlineLevel="0" collapsed="false">
      <c r="A448" s="12" t="s">
        <v>1100</v>
      </c>
      <c r="B448" s="12" t="s">
        <v>300</v>
      </c>
      <c r="C448" s="12" t="s">
        <v>296</v>
      </c>
      <c r="D448" s="12" t="s">
        <v>70</v>
      </c>
      <c r="E448" s="12" t="s">
        <v>478</v>
      </c>
      <c r="F448" s="12" t="s">
        <v>479</v>
      </c>
      <c r="G448" s="12" t="n">
        <v>1</v>
      </c>
      <c r="H448" s="12" t="n">
        <v>0</v>
      </c>
      <c r="I448" s="12" t="n">
        <v>1</v>
      </c>
      <c r="J448" s="12" t="s">
        <v>480</v>
      </c>
      <c r="K448" s="12" t="s">
        <v>388</v>
      </c>
      <c r="L448" s="12" t="s">
        <v>389</v>
      </c>
    </row>
    <row r="449" customFormat="false" ht="15" hidden="false" customHeight="false" outlineLevel="0" collapsed="false">
      <c r="A449" s="12" t="s">
        <v>1101</v>
      </c>
      <c r="B449" s="12" t="s">
        <v>304</v>
      </c>
      <c r="C449" s="12" t="s">
        <v>296</v>
      </c>
      <c r="D449" s="12" t="s">
        <v>70</v>
      </c>
      <c r="E449" s="12" t="s">
        <v>384</v>
      </c>
      <c r="F449" s="12" t="s">
        <v>385</v>
      </c>
      <c r="G449" s="12" t="n">
        <v>8</v>
      </c>
      <c r="H449" s="12" t="n">
        <v>0</v>
      </c>
      <c r="I449" s="12" t="n">
        <v>2</v>
      </c>
      <c r="J449" s="12" t="s">
        <v>113</v>
      </c>
      <c r="K449" s="12" t="s">
        <v>388</v>
      </c>
      <c r="L449" s="12" t="s">
        <v>389</v>
      </c>
    </row>
    <row r="450" customFormat="false" ht="15" hidden="false" customHeight="false" outlineLevel="0" collapsed="false">
      <c r="A450" s="12" t="s">
        <v>1102</v>
      </c>
      <c r="B450" s="12" t="s">
        <v>304</v>
      </c>
      <c r="C450" s="12" t="s">
        <v>296</v>
      </c>
      <c r="D450" s="12" t="s">
        <v>70</v>
      </c>
      <c r="E450" s="12" t="s">
        <v>392</v>
      </c>
      <c r="F450" s="12" t="s">
        <v>393</v>
      </c>
      <c r="G450" s="12" t="n">
        <v>6</v>
      </c>
      <c r="H450" s="12" t="n">
        <v>0</v>
      </c>
      <c r="I450" s="12" t="n">
        <v>1</v>
      </c>
      <c r="J450" s="12" t="s">
        <v>113</v>
      </c>
      <c r="K450" s="12" t="s">
        <v>388</v>
      </c>
      <c r="L450" s="12" t="s">
        <v>389</v>
      </c>
    </row>
    <row r="451" customFormat="false" ht="15" hidden="false" customHeight="false" outlineLevel="0" collapsed="false">
      <c r="A451" s="12" t="s">
        <v>1103</v>
      </c>
      <c r="B451" s="12" t="s">
        <v>304</v>
      </c>
      <c r="C451" s="12" t="s">
        <v>296</v>
      </c>
      <c r="D451" s="12" t="s">
        <v>70</v>
      </c>
      <c r="E451" s="12" t="s">
        <v>400</v>
      </c>
      <c r="F451" s="12" t="s">
        <v>401</v>
      </c>
      <c r="G451" s="12" t="n">
        <v>8</v>
      </c>
      <c r="H451" s="12" t="n">
        <v>0</v>
      </c>
      <c r="I451" s="12" t="n">
        <v>2</v>
      </c>
      <c r="J451" s="12" t="s">
        <v>113</v>
      </c>
      <c r="K451" s="12" t="s">
        <v>388</v>
      </c>
      <c r="L451" s="12" t="s">
        <v>389</v>
      </c>
    </row>
    <row r="452" customFormat="false" ht="15" hidden="false" customHeight="false" outlineLevel="0" collapsed="false">
      <c r="A452" s="12" t="s">
        <v>1104</v>
      </c>
      <c r="B452" s="12" t="s">
        <v>304</v>
      </c>
      <c r="C452" s="12" t="s">
        <v>296</v>
      </c>
      <c r="D452" s="12" t="s">
        <v>70</v>
      </c>
      <c r="E452" s="12" t="s">
        <v>408</v>
      </c>
      <c r="F452" s="12" t="s">
        <v>409</v>
      </c>
      <c r="G452" s="12" t="n">
        <v>8</v>
      </c>
      <c r="H452" s="12" t="n">
        <v>1</v>
      </c>
      <c r="I452" s="12" t="n">
        <v>2</v>
      </c>
      <c r="J452" s="12" t="s">
        <v>113</v>
      </c>
      <c r="K452" s="12" t="s">
        <v>388</v>
      </c>
      <c r="L452" s="12" t="s">
        <v>389</v>
      </c>
    </row>
    <row r="453" customFormat="false" ht="15" hidden="false" customHeight="false" outlineLevel="0" collapsed="false">
      <c r="A453" s="12" t="s">
        <v>1105</v>
      </c>
      <c r="B453" s="12" t="s">
        <v>304</v>
      </c>
      <c r="C453" s="12" t="s">
        <v>296</v>
      </c>
      <c r="D453" s="12" t="s">
        <v>70</v>
      </c>
      <c r="E453" s="12" t="s">
        <v>412</v>
      </c>
      <c r="F453" s="12" t="s">
        <v>413</v>
      </c>
      <c r="G453" s="12" t="n">
        <v>7</v>
      </c>
      <c r="H453" s="12" t="n">
        <v>0</v>
      </c>
      <c r="I453" s="12" t="n">
        <v>2</v>
      </c>
      <c r="J453" s="12" t="s">
        <v>113</v>
      </c>
      <c r="K453" s="12" t="s">
        <v>388</v>
      </c>
      <c r="L453" s="12" t="s">
        <v>389</v>
      </c>
    </row>
    <row r="454" customFormat="false" ht="15" hidden="false" customHeight="false" outlineLevel="0" collapsed="false">
      <c r="A454" s="12" t="s">
        <v>1106</v>
      </c>
      <c r="B454" s="12" t="s">
        <v>304</v>
      </c>
      <c r="C454" s="12" t="s">
        <v>296</v>
      </c>
      <c r="D454" s="12" t="s">
        <v>70</v>
      </c>
      <c r="E454" s="12" t="s">
        <v>414</v>
      </c>
      <c r="F454" s="12" t="s">
        <v>415</v>
      </c>
      <c r="G454" s="12" t="n">
        <v>3</v>
      </c>
      <c r="H454" s="12" t="n">
        <v>1</v>
      </c>
      <c r="I454" s="12" t="n">
        <v>2</v>
      </c>
      <c r="J454" s="12" t="s">
        <v>113</v>
      </c>
      <c r="K454" s="12" t="s">
        <v>417</v>
      </c>
      <c r="L454" s="12" t="s">
        <v>418</v>
      </c>
    </row>
    <row r="455" customFormat="false" ht="15" hidden="false" customHeight="false" outlineLevel="0" collapsed="false">
      <c r="A455" s="12" t="s">
        <v>1107</v>
      </c>
      <c r="B455" s="12" t="s">
        <v>304</v>
      </c>
      <c r="C455" s="12" t="s">
        <v>296</v>
      </c>
      <c r="D455" s="12" t="s">
        <v>70</v>
      </c>
      <c r="E455" s="12" t="s">
        <v>468</v>
      </c>
      <c r="F455" s="12" t="s">
        <v>469</v>
      </c>
      <c r="G455" s="12" t="n">
        <v>4</v>
      </c>
      <c r="H455" s="12" t="n">
        <v>0</v>
      </c>
      <c r="I455" s="12" t="n">
        <v>1</v>
      </c>
      <c r="J455" s="12" t="s">
        <v>118</v>
      </c>
      <c r="K455" s="12" t="s">
        <v>470</v>
      </c>
      <c r="L455" s="12" t="s">
        <v>418</v>
      </c>
    </row>
    <row r="456" customFormat="false" ht="15" hidden="false" customHeight="false" outlineLevel="0" collapsed="false">
      <c r="A456" s="12" t="s">
        <v>1108</v>
      </c>
      <c r="B456" s="12" t="s">
        <v>304</v>
      </c>
      <c r="C456" s="12" t="s">
        <v>296</v>
      </c>
      <c r="D456" s="12" t="s">
        <v>70</v>
      </c>
      <c r="E456" s="12" t="s">
        <v>453</v>
      </c>
      <c r="F456" s="12" t="s">
        <v>454</v>
      </c>
      <c r="G456" s="12" t="n">
        <v>2</v>
      </c>
      <c r="H456" s="12" t="n">
        <v>0</v>
      </c>
      <c r="I456" s="12" t="n">
        <v>1</v>
      </c>
      <c r="J456" s="12" t="s">
        <v>118</v>
      </c>
      <c r="K456" s="12" t="s">
        <v>456</v>
      </c>
      <c r="L456" s="12" t="s">
        <v>389</v>
      </c>
    </row>
    <row r="457" customFormat="false" ht="15" hidden="false" customHeight="false" outlineLevel="0" collapsed="false">
      <c r="A457" s="12" t="s">
        <v>1109</v>
      </c>
      <c r="B457" s="12" t="s">
        <v>304</v>
      </c>
      <c r="C457" s="12" t="s">
        <v>296</v>
      </c>
      <c r="D457" s="12" t="s">
        <v>70</v>
      </c>
      <c r="E457" s="12" t="s">
        <v>472</v>
      </c>
      <c r="F457" s="12" t="s">
        <v>473</v>
      </c>
      <c r="G457" s="12" t="n">
        <v>1</v>
      </c>
      <c r="H457" s="12" t="n">
        <v>0</v>
      </c>
      <c r="I457" s="12" t="n">
        <v>1</v>
      </c>
      <c r="J457" s="12" t="s">
        <v>118</v>
      </c>
      <c r="K457" s="12" t="s">
        <v>474</v>
      </c>
      <c r="L457" s="12" t="s">
        <v>418</v>
      </c>
    </row>
    <row r="458" customFormat="false" ht="15" hidden="false" customHeight="false" outlineLevel="0" collapsed="false">
      <c r="A458" s="12" t="s">
        <v>1110</v>
      </c>
      <c r="B458" s="12" t="s">
        <v>304</v>
      </c>
      <c r="C458" s="12" t="s">
        <v>296</v>
      </c>
      <c r="D458" s="12" t="s">
        <v>70</v>
      </c>
      <c r="E458" s="12" t="s">
        <v>478</v>
      </c>
      <c r="F458" s="12" t="s">
        <v>479</v>
      </c>
      <c r="G458" s="12" t="n">
        <v>1</v>
      </c>
      <c r="H458" s="12" t="n">
        <v>0</v>
      </c>
      <c r="I458" s="12" t="n">
        <v>1</v>
      </c>
      <c r="J458" s="12" t="s">
        <v>480</v>
      </c>
      <c r="K458" s="12" t="s">
        <v>388</v>
      </c>
      <c r="L458" s="12" t="s">
        <v>389</v>
      </c>
    </row>
    <row r="459" customFormat="false" ht="15" hidden="false" customHeight="false" outlineLevel="0" collapsed="false">
      <c r="A459" s="12" t="s">
        <v>1111</v>
      </c>
      <c r="B459" s="12" t="s">
        <v>308</v>
      </c>
      <c r="C459" s="12" t="s">
        <v>296</v>
      </c>
      <c r="D459" s="12" t="s">
        <v>70</v>
      </c>
      <c r="E459" s="12" t="s">
        <v>384</v>
      </c>
      <c r="F459" s="12" t="s">
        <v>385</v>
      </c>
      <c r="G459" s="12" t="n">
        <v>8</v>
      </c>
      <c r="H459" s="12" t="n">
        <v>0</v>
      </c>
      <c r="I459" s="12" t="n">
        <v>2</v>
      </c>
      <c r="J459" s="12" t="s">
        <v>113</v>
      </c>
      <c r="K459" s="12" t="s">
        <v>388</v>
      </c>
      <c r="L459" s="12" t="s">
        <v>389</v>
      </c>
    </row>
    <row r="460" customFormat="false" ht="15" hidden="false" customHeight="false" outlineLevel="0" collapsed="false">
      <c r="A460" s="12" t="s">
        <v>1112</v>
      </c>
      <c r="B460" s="12" t="s">
        <v>308</v>
      </c>
      <c r="C460" s="12" t="s">
        <v>296</v>
      </c>
      <c r="D460" s="12" t="s">
        <v>70</v>
      </c>
      <c r="E460" s="12" t="s">
        <v>392</v>
      </c>
      <c r="F460" s="12" t="s">
        <v>393</v>
      </c>
      <c r="G460" s="12" t="n">
        <v>6</v>
      </c>
      <c r="H460" s="12" t="n">
        <v>0</v>
      </c>
      <c r="I460" s="12" t="n">
        <v>1</v>
      </c>
      <c r="J460" s="12" t="s">
        <v>113</v>
      </c>
      <c r="K460" s="12" t="s">
        <v>388</v>
      </c>
      <c r="L460" s="12" t="s">
        <v>389</v>
      </c>
    </row>
    <row r="461" customFormat="false" ht="15" hidden="false" customHeight="false" outlineLevel="0" collapsed="false">
      <c r="A461" s="12" t="s">
        <v>1113</v>
      </c>
      <c r="B461" s="12" t="s">
        <v>308</v>
      </c>
      <c r="C461" s="12" t="s">
        <v>296</v>
      </c>
      <c r="D461" s="12" t="s">
        <v>70</v>
      </c>
      <c r="E461" s="12" t="s">
        <v>400</v>
      </c>
      <c r="F461" s="12" t="s">
        <v>401</v>
      </c>
      <c r="G461" s="12" t="n">
        <v>8</v>
      </c>
      <c r="H461" s="12" t="n">
        <v>0</v>
      </c>
      <c r="I461" s="12" t="n">
        <v>2</v>
      </c>
      <c r="J461" s="12" t="s">
        <v>113</v>
      </c>
      <c r="K461" s="12" t="s">
        <v>388</v>
      </c>
      <c r="L461" s="12" t="s">
        <v>389</v>
      </c>
    </row>
    <row r="462" customFormat="false" ht="15" hidden="false" customHeight="false" outlineLevel="0" collapsed="false">
      <c r="A462" s="12" t="s">
        <v>1114</v>
      </c>
      <c r="B462" s="12" t="s">
        <v>308</v>
      </c>
      <c r="C462" s="12" t="s">
        <v>296</v>
      </c>
      <c r="D462" s="12" t="s">
        <v>70</v>
      </c>
      <c r="E462" s="12" t="s">
        <v>408</v>
      </c>
      <c r="F462" s="12" t="s">
        <v>409</v>
      </c>
      <c r="G462" s="12" t="n">
        <v>8</v>
      </c>
      <c r="H462" s="12" t="n">
        <v>1</v>
      </c>
      <c r="I462" s="12" t="n">
        <v>2</v>
      </c>
      <c r="J462" s="12" t="s">
        <v>113</v>
      </c>
      <c r="K462" s="12" t="s">
        <v>388</v>
      </c>
      <c r="L462" s="12" t="s">
        <v>389</v>
      </c>
    </row>
    <row r="463" customFormat="false" ht="15" hidden="false" customHeight="false" outlineLevel="0" collapsed="false">
      <c r="A463" s="12" t="s">
        <v>1115</v>
      </c>
      <c r="B463" s="12" t="s">
        <v>308</v>
      </c>
      <c r="C463" s="12" t="s">
        <v>296</v>
      </c>
      <c r="D463" s="12" t="s">
        <v>70</v>
      </c>
      <c r="E463" s="12" t="s">
        <v>412</v>
      </c>
      <c r="F463" s="12" t="s">
        <v>413</v>
      </c>
      <c r="G463" s="12" t="n">
        <v>7</v>
      </c>
      <c r="H463" s="12" t="n">
        <v>0</v>
      </c>
      <c r="I463" s="12" t="n">
        <v>2</v>
      </c>
      <c r="J463" s="12" t="s">
        <v>113</v>
      </c>
      <c r="K463" s="12" t="s">
        <v>388</v>
      </c>
      <c r="L463" s="12" t="s">
        <v>389</v>
      </c>
    </row>
    <row r="464" customFormat="false" ht="15" hidden="false" customHeight="false" outlineLevel="0" collapsed="false">
      <c r="A464" s="12" t="s">
        <v>1116</v>
      </c>
      <c r="B464" s="12" t="s">
        <v>308</v>
      </c>
      <c r="C464" s="12" t="s">
        <v>296</v>
      </c>
      <c r="D464" s="12" t="s">
        <v>70</v>
      </c>
      <c r="E464" s="12" t="s">
        <v>414</v>
      </c>
      <c r="F464" s="12" t="s">
        <v>415</v>
      </c>
      <c r="G464" s="12" t="n">
        <v>3</v>
      </c>
      <c r="H464" s="12" t="n">
        <v>1</v>
      </c>
      <c r="I464" s="12" t="n">
        <v>2</v>
      </c>
      <c r="J464" s="12" t="s">
        <v>113</v>
      </c>
      <c r="K464" s="12" t="s">
        <v>417</v>
      </c>
      <c r="L464" s="12" t="s">
        <v>418</v>
      </c>
    </row>
    <row r="465" customFormat="false" ht="15" hidden="false" customHeight="false" outlineLevel="0" collapsed="false">
      <c r="A465" s="12" t="s">
        <v>1117</v>
      </c>
      <c r="B465" s="12" t="s">
        <v>308</v>
      </c>
      <c r="C465" s="12" t="s">
        <v>296</v>
      </c>
      <c r="D465" s="12" t="s">
        <v>70</v>
      </c>
      <c r="E465" s="12" t="s">
        <v>468</v>
      </c>
      <c r="F465" s="12" t="s">
        <v>469</v>
      </c>
      <c r="G465" s="12" t="n">
        <v>4</v>
      </c>
      <c r="H465" s="12" t="n">
        <v>0</v>
      </c>
      <c r="I465" s="12" t="n">
        <v>1</v>
      </c>
      <c r="J465" s="12" t="s">
        <v>118</v>
      </c>
      <c r="K465" s="12" t="s">
        <v>470</v>
      </c>
      <c r="L465" s="12" t="s">
        <v>418</v>
      </c>
    </row>
    <row r="466" customFormat="false" ht="15" hidden="false" customHeight="false" outlineLevel="0" collapsed="false">
      <c r="A466" s="12" t="s">
        <v>1118</v>
      </c>
      <c r="B466" s="12" t="s">
        <v>308</v>
      </c>
      <c r="C466" s="12" t="s">
        <v>296</v>
      </c>
      <c r="D466" s="12" t="s">
        <v>70</v>
      </c>
      <c r="E466" s="12" t="s">
        <v>453</v>
      </c>
      <c r="F466" s="12" t="s">
        <v>454</v>
      </c>
      <c r="G466" s="12" t="n">
        <v>2</v>
      </c>
      <c r="H466" s="12" t="n">
        <v>0</v>
      </c>
      <c r="I466" s="12" t="n">
        <v>1</v>
      </c>
      <c r="J466" s="12" t="s">
        <v>118</v>
      </c>
      <c r="K466" s="12" t="s">
        <v>456</v>
      </c>
      <c r="L466" s="12" t="s">
        <v>389</v>
      </c>
    </row>
    <row r="467" customFormat="false" ht="15" hidden="false" customHeight="false" outlineLevel="0" collapsed="false">
      <c r="A467" s="12" t="s">
        <v>1119</v>
      </c>
      <c r="B467" s="12" t="s">
        <v>308</v>
      </c>
      <c r="C467" s="12" t="s">
        <v>296</v>
      </c>
      <c r="D467" s="12" t="s">
        <v>70</v>
      </c>
      <c r="E467" s="12" t="s">
        <v>472</v>
      </c>
      <c r="F467" s="12" t="s">
        <v>473</v>
      </c>
      <c r="G467" s="12" t="n">
        <v>1</v>
      </c>
      <c r="H467" s="12" t="n">
        <v>0</v>
      </c>
      <c r="I467" s="12" t="n">
        <v>1</v>
      </c>
      <c r="J467" s="12" t="s">
        <v>118</v>
      </c>
      <c r="K467" s="12" t="s">
        <v>474</v>
      </c>
      <c r="L467" s="12" t="s">
        <v>418</v>
      </c>
    </row>
    <row r="468" customFormat="false" ht="15" hidden="false" customHeight="false" outlineLevel="0" collapsed="false">
      <c r="A468" s="12" t="s">
        <v>1120</v>
      </c>
      <c r="B468" s="12" t="s">
        <v>308</v>
      </c>
      <c r="C468" s="12" t="s">
        <v>296</v>
      </c>
      <c r="D468" s="12" t="s">
        <v>70</v>
      </c>
      <c r="E468" s="12" t="s">
        <v>478</v>
      </c>
      <c r="F468" s="12" t="s">
        <v>479</v>
      </c>
      <c r="G468" s="12" t="n">
        <v>1</v>
      </c>
      <c r="H468" s="12" t="n">
        <v>0</v>
      </c>
      <c r="I468" s="12" t="n">
        <v>1</v>
      </c>
      <c r="J468" s="12" t="s">
        <v>480</v>
      </c>
      <c r="K468" s="12" t="s">
        <v>388</v>
      </c>
      <c r="L468" s="12" t="s">
        <v>389</v>
      </c>
    </row>
    <row r="469" customFormat="false" ht="15" hidden="false" customHeight="false" outlineLevel="0" collapsed="false">
      <c r="A469" s="12" t="s">
        <v>1121</v>
      </c>
      <c r="B469" s="12" t="s">
        <v>312</v>
      </c>
      <c r="C469" s="12" t="s">
        <v>313</v>
      </c>
      <c r="D469" s="12" t="s">
        <v>70</v>
      </c>
      <c r="E469" s="12" t="s">
        <v>384</v>
      </c>
      <c r="F469" s="12" t="s">
        <v>385</v>
      </c>
      <c r="G469" s="12" t="n">
        <v>8</v>
      </c>
      <c r="H469" s="12" t="n">
        <v>0</v>
      </c>
      <c r="I469" s="12" t="n">
        <v>2</v>
      </c>
      <c r="J469" s="12" t="s">
        <v>113</v>
      </c>
      <c r="K469" s="12" t="s">
        <v>388</v>
      </c>
      <c r="L469" s="12" t="s">
        <v>389</v>
      </c>
    </row>
    <row r="470" customFormat="false" ht="15" hidden="false" customHeight="false" outlineLevel="0" collapsed="false">
      <c r="A470" s="12" t="s">
        <v>1122</v>
      </c>
      <c r="B470" s="12" t="s">
        <v>312</v>
      </c>
      <c r="C470" s="12" t="s">
        <v>313</v>
      </c>
      <c r="D470" s="12" t="s">
        <v>70</v>
      </c>
      <c r="E470" s="12" t="s">
        <v>392</v>
      </c>
      <c r="F470" s="12" t="s">
        <v>393</v>
      </c>
      <c r="G470" s="12" t="n">
        <v>6</v>
      </c>
      <c r="H470" s="12" t="n">
        <v>0</v>
      </c>
      <c r="I470" s="12" t="n">
        <v>1</v>
      </c>
      <c r="J470" s="12" t="s">
        <v>113</v>
      </c>
      <c r="K470" s="12" t="s">
        <v>388</v>
      </c>
      <c r="L470" s="12" t="s">
        <v>389</v>
      </c>
    </row>
    <row r="471" customFormat="false" ht="15" hidden="false" customHeight="false" outlineLevel="0" collapsed="false">
      <c r="A471" s="12" t="s">
        <v>1123</v>
      </c>
      <c r="B471" s="12" t="s">
        <v>312</v>
      </c>
      <c r="C471" s="12" t="s">
        <v>313</v>
      </c>
      <c r="D471" s="12" t="s">
        <v>70</v>
      </c>
      <c r="E471" s="12" t="s">
        <v>400</v>
      </c>
      <c r="F471" s="12" t="s">
        <v>401</v>
      </c>
      <c r="G471" s="12" t="n">
        <v>8</v>
      </c>
      <c r="H471" s="12" t="n">
        <v>0</v>
      </c>
      <c r="I471" s="12" t="n">
        <v>2</v>
      </c>
      <c r="J471" s="12" t="s">
        <v>113</v>
      </c>
      <c r="K471" s="12" t="s">
        <v>388</v>
      </c>
      <c r="L471" s="12" t="s">
        <v>389</v>
      </c>
    </row>
    <row r="472" customFormat="false" ht="15" hidden="false" customHeight="false" outlineLevel="0" collapsed="false">
      <c r="A472" s="12" t="s">
        <v>1124</v>
      </c>
      <c r="B472" s="12" t="s">
        <v>312</v>
      </c>
      <c r="C472" s="12" t="s">
        <v>313</v>
      </c>
      <c r="D472" s="12" t="s">
        <v>70</v>
      </c>
      <c r="E472" s="12" t="s">
        <v>408</v>
      </c>
      <c r="F472" s="12" t="s">
        <v>409</v>
      </c>
      <c r="G472" s="12" t="n">
        <v>8</v>
      </c>
      <c r="H472" s="12" t="n">
        <v>1</v>
      </c>
      <c r="I472" s="12" t="n">
        <v>2</v>
      </c>
      <c r="J472" s="12" t="s">
        <v>113</v>
      </c>
      <c r="K472" s="12" t="s">
        <v>388</v>
      </c>
      <c r="L472" s="12" t="s">
        <v>389</v>
      </c>
    </row>
    <row r="473" customFormat="false" ht="15" hidden="false" customHeight="false" outlineLevel="0" collapsed="false">
      <c r="A473" s="12" t="s">
        <v>1125</v>
      </c>
      <c r="B473" s="12" t="s">
        <v>312</v>
      </c>
      <c r="C473" s="12" t="s">
        <v>313</v>
      </c>
      <c r="D473" s="12" t="s">
        <v>70</v>
      </c>
      <c r="E473" s="12" t="s">
        <v>412</v>
      </c>
      <c r="F473" s="12" t="s">
        <v>413</v>
      </c>
      <c r="G473" s="12" t="n">
        <v>7</v>
      </c>
      <c r="H473" s="12" t="n">
        <v>0</v>
      </c>
      <c r="I473" s="12" t="n">
        <v>2</v>
      </c>
      <c r="J473" s="12" t="s">
        <v>113</v>
      </c>
      <c r="K473" s="12" t="s">
        <v>388</v>
      </c>
      <c r="L473" s="12" t="s">
        <v>389</v>
      </c>
    </row>
    <row r="474" customFormat="false" ht="15" hidden="false" customHeight="false" outlineLevel="0" collapsed="false">
      <c r="A474" s="12" t="s">
        <v>1126</v>
      </c>
      <c r="B474" s="12" t="s">
        <v>312</v>
      </c>
      <c r="C474" s="12" t="s">
        <v>313</v>
      </c>
      <c r="D474" s="12" t="s">
        <v>70</v>
      </c>
      <c r="E474" s="12" t="s">
        <v>414</v>
      </c>
      <c r="F474" s="12" t="s">
        <v>415</v>
      </c>
      <c r="G474" s="12" t="n">
        <v>3</v>
      </c>
      <c r="H474" s="12" t="n">
        <v>1</v>
      </c>
      <c r="I474" s="12" t="n">
        <v>2</v>
      </c>
      <c r="J474" s="12" t="s">
        <v>113</v>
      </c>
      <c r="K474" s="12" t="s">
        <v>417</v>
      </c>
      <c r="L474" s="12" t="s">
        <v>418</v>
      </c>
    </row>
    <row r="475" customFormat="false" ht="15" hidden="false" customHeight="false" outlineLevel="0" collapsed="false">
      <c r="A475" s="12" t="s">
        <v>1127</v>
      </c>
      <c r="B475" s="12" t="s">
        <v>312</v>
      </c>
      <c r="C475" s="12" t="s">
        <v>313</v>
      </c>
      <c r="D475" s="12" t="s">
        <v>70</v>
      </c>
      <c r="E475" s="12" t="s">
        <v>468</v>
      </c>
      <c r="F475" s="12" t="s">
        <v>469</v>
      </c>
      <c r="G475" s="12" t="n">
        <v>4</v>
      </c>
      <c r="H475" s="12" t="n">
        <v>0</v>
      </c>
      <c r="I475" s="12" t="n">
        <v>1</v>
      </c>
      <c r="J475" s="12" t="s">
        <v>118</v>
      </c>
      <c r="K475" s="12" t="s">
        <v>470</v>
      </c>
      <c r="L475" s="12" t="s">
        <v>418</v>
      </c>
    </row>
    <row r="476" customFormat="false" ht="15" hidden="false" customHeight="false" outlineLevel="0" collapsed="false">
      <c r="A476" s="12" t="s">
        <v>1128</v>
      </c>
      <c r="B476" s="12" t="s">
        <v>312</v>
      </c>
      <c r="C476" s="12" t="s">
        <v>313</v>
      </c>
      <c r="D476" s="12" t="s">
        <v>70</v>
      </c>
      <c r="E476" s="12" t="s">
        <v>453</v>
      </c>
      <c r="F476" s="12" t="s">
        <v>454</v>
      </c>
      <c r="G476" s="12" t="n">
        <v>2</v>
      </c>
      <c r="H476" s="12" t="n">
        <v>0</v>
      </c>
      <c r="I476" s="12" t="n">
        <v>1</v>
      </c>
      <c r="J476" s="12" t="s">
        <v>118</v>
      </c>
      <c r="K476" s="12" t="s">
        <v>456</v>
      </c>
      <c r="L476" s="12" t="s">
        <v>389</v>
      </c>
    </row>
    <row r="477" customFormat="false" ht="15" hidden="false" customHeight="false" outlineLevel="0" collapsed="false">
      <c r="A477" s="12" t="s">
        <v>1129</v>
      </c>
      <c r="B477" s="12" t="s">
        <v>312</v>
      </c>
      <c r="C477" s="12" t="s">
        <v>313</v>
      </c>
      <c r="D477" s="12" t="s">
        <v>70</v>
      </c>
      <c r="E477" s="12" t="s">
        <v>472</v>
      </c>
      <c r="F477" s="12" t="s">
        <v>473</v>
      </c>
      <c r="G477" s="12" t="n">
        <v>1</v>
      </c>
      <c r="H477" s="12" t="n">
        <v>0</v>
      </c>
      <c r="I477" s="12" t="n">
        <v>1</v>
      </c>
      <c r="J477" s="12" t="s">
        <v>118</v>
      </c>
      <c r="K477" s="12" t="s">
        <v>474</v>
      </c>
      <c r="L477" s="12" t="s">
        <v>418</v>
      </c>
    </row>
    <row r="478" customFormat="false" ht="15" hidden="false" customHeight="false" outlineLevel="0" collapsed="false">
      <c r="A478" s="12" t="s">
        <v>1130</v>
      </c>
      <c r="B478" s="12" t="s">
        <v>312</v>
      </c>
      <c r="C478" s="12" t="s">
        <v>313</v>
      </c>
      <c r="D478" s="12" t="s">
        <v>70</v>
      </c>
      <c r="E478" s="12" t="s">
        <v>478</v>
      </c>
      <c r="F478" s="12" t="s">
        <v>479</v>
      </c>
      <c r="G478" s="12" t="n">
        <v>1</v>
      </c>
      <c r="H478" s="12" t="n">
        <v>0</v>
      </c>
      <c r="I478" s="12" t="n">
        <v>1</v>
      </c>
      <c r="J478" s="12" t="s">
        <v>480</v>
      </c>
      <c r="K478" s="12" t="s">
        <v>388</v>
      </c>
      <c r="L478" s="12" t="s">
        <v>389</v>
      </c>
    </row>
    <row r="479" customFormat="false" ht="15" hidden="false" customHeight="false" outlineLevel="0" collapsed="false">
      <c r="A479" s="12" t="s">
        <v>1131</v>
      </c>
      <c r="B479" s="12" t="s">
        <v>317</v>
      </c>
      <c r="C479" s="12" t="s">
        <v>313</v>
      </c>
      <c r="D479" s="12" t="s">
        <v>70</v>
      </c>
      <c r="E479" s="12" t="s">
        <v>384</v>
      </c>
      <c r="F479" s="12" t="s">
        <v>385</v>
      </c>
      <c r="G479" s="12" t="n">
        <v>8</v>
      </c>
      <c r="H479" s="12" t="n">
        <v>0</v>
      </c>
      <c r="I479" s="12" t="n">
        <v>2</v>
      </c>
      <c r="J479" s="12" t="s">
        <v>113</v>
      </c>
      <c r="K479" s="12" t="s">
        <v>388</v>
      </c>
      <c r="L479" s="12" t="s">
        <v>389</v>
      </c>
    </row>
    <row r="480" customFormat="false" ht="15" hidden="false" customHeight="false" outlineLevel="0" collapsed="false">
      <c r="A480" s="12" t="s">
        <v>1132</v>
      </c>
      <c r="B480" s="12" t="s">
        <v>317</v>
      </c>
      <c r="C480" s="12" t="s">
        <v>313</v>
      </c>
      <c r="D480" s="12" t="s">
        <v>70</v>
      </c>
      <c r="E480" s="12" t="s">
        <v>392</v>
      </c>
      <c r="F480" s="12" t="s">
        <v>393</v>
      </c>
      <c r="G480" s="12" t="n">
        <v>6</v>
      </c>
      <c r="H480" s="12" t="n">
        <v>0</v>
      </c>
      <c r="I480" s="12" t="n">
        <v>1</v>
      </c>
      <c r="J480" s="12" t="s">
        <v>113</v>
      </c>
      <c r="K480" s="12" t="s">
        <v>388</v>
      </c>
      <c r="L480" s="12" t="s">
        <v>389</v>
      </c>
    </row>
    <row r="481" customFormat="false" ht="15" hidden="false" customHeight="false" outlineLevel="0" collapsed="false">
      <c r="A481" s="12" t="s">
        <v>1133</v>
      </c>
      <c r="B481" s="12" t="s">
        <v>317</v>
      </c>
      <c r="C481" s="12" t="s">
        <v>313</v>
      </c>
      <c r="D481" s="12" t="s">
        <v>70</v>
      </c>
      <c r="E481" s="12" t="s">
        <v>400</v>
      </c>
      <c r="F481" s="12" t="s">
        <v>401</v>
      </c>
      <c r="G481" s="12" t="n">
        <v>8</v>
      </c>
      <c r="H481" s="12" t="n">
        <v>0</v>
      </c>
      <c r="I481" s="12" t="n">
        <v>2</v>
      </c>
      <c r="J481" s="12" t="s">
        <v>113</v>
      </c>
      <c r="K481" s="12" t="s">
        <v>388</v>
      </c>
      <c r="L481" s="12" t="s">
        <v>389</v>
      </c>
    </row>
    <row r="482" customFormat="false" ht="15" hidden="false" customHeight="false" outlineLevel="0" collapsed="false">
      <c r="A482" s="12" t="s">
        <v>1134</v>
      </c>
      <c r="B482" s="12" t="s">
        <v>317</v>
      </c>
      <c r="C482" s="12" t="s">
        <v>313</v>
      </c>
      <c r="D482" s="12" t="s">
        <v>70</v>
      </c>
      <c r="E482" s="12" t="s">
        <v>408</v>
      </c>
      <c r="F482" s="12" t="s">
        <v>409</v>
      </c>
      <c r="G482" s="12" t="n">
        <v>8</v>
      </c>
      <c r="H482" s="12" t="n">
        <v>1</v>
      </c>
      <c r="I482" s="12" t="n">
        <v>2</v>
      </c>
      <c r="J482" s="12" t="s">
        <v>113</v>
      </c>
      <c r="K482" s="12" t="s">
        <v>388</v>
      </c>
      <c r="L482" s="12" t="s">
        <v>389</v>
      </c>
    </row>
    <row r="483" customFormat="false" ht="15" hidden="false" customHeight="false" outlineLevel="0" collapsed="false">
      <c r="A483" s="12" t="s">
        <v>1135</v>
      </c>
      <c r="B483" s="12" t="s">
        <v>317</v>
      </c>
      <c r="C483" s="12" t="s">
        <v>313</v>
      </c>
      <c r="D483" s="12" t="s">
        <v>70</v>
      </c>
      <c r="E483" s="12" t="s">
        <v>412</v>
      </c>
      <c r="F483" s="12" t="s">
        <v>413</v>
      </c>
      <c r="G483" s="12" t="n">
        <v>7</v>
      </c>
      <c r="H483" s="12" t="n">
        <v>0</v>
      </c>
      <c r="I483" s="12" t="n">
        <v>2</v>
      </c>
      <c r="J483" s="12" t="s">
        <v>113</v>
      </c>
      <c r="K483" s="12" t="s">
        <v>388</v>
      </c>
      <c r="L483" s="12" t="s">
        <v>389</v>
      </c>
    </row>
    <row r="484" customFormat="false" ht="15" hidden="false" customHeight="false" outlineLevel="0" collapsed="false">
      <c r="A484" s="12" t="s">
        <v>1136</v>
      </c>
      <c r="B484" s="12" t="s">
        <v>317</v>
      </c>
      <c r="C484" s="12" t="s">
        <v>313</v>
      </c>
      <c r="D484" s="12" t="s">
        <v>70</v>
      </c>
      <c r="E484" s="12" t="s">
        <v>414</v>
      </c>
      <c r="F484" s="12" t="s">
        <v>415</v>
      </c>
      <c r="G484" s="12" t="n">
        <v>3</v>
      </c>
      <c r="H484" s="12" t="n">
        <v>1</v>
      </c>
      <c r="I484" s="12" t="n">
        <v>2</v>
      </c>
      <c r="J484" s="12" t="s">
        <v>113</v>
      </c>
      <c r="K484" s="12" t="s">
        <v>417</v>
      </c>
      <c r="L484" s="12" t="s">
        <v>418</v>
      </c>
    </row>
    <row r="485" customFormat="false" ht="15" hidden="false" customHeight="false" outlineLevel="0" collapsed="false">
      <c r="A485" s="12" t="s">
        <v>1137</v>
      </c>
      <c r="B485" s="12" t="s">
        <v>317</v>
      </c>
      <c r="C485" s="12" t="s">
        <v>313</v>
      </c>
      <c r="D485" s="12" t="s">
        <v>70</v>
      </c>
      <c r="E485" s="12" t="s">
        <v>468</v>
      </c>
      <c r="F485" s="12" t="s">
        <v>469</v>
      </c>
      <c r="G485" s="12" t="n">
        <v>4</v>
      </c>
      <c r="H485" s="12" t="n">
        <v>0</v>
      </c>
      <c r="I485" s="12" t="n">
        <v>1</v>
      </c>
      <c r="J485" s="12" t="s">
        <v>118</v>
      </c>
      <c r="K485" s="12" t="s">
        <v>470</v>
      </c>
      <c r="L485" s="12" t="s">
        <v>418</v>
      </c>
    </row>
    <row r="486" customFormat="false" ht="15" hidden="false" customHeight="false" outlineLevel="0" collapsed="false">
      <c r="A486" s="12" t="s">
        <v>1138</v>
      </c>
      <c r="B486" s="12" t="s">
        <v>317</v>
      </c>
      <c r="C486" s="12" t="s">
        <v>313</v>
      </c>
      <c r="D486" s="12" t="s">
        <v>70</v>
      </c>
      <c r="E486" s="12" t="s">
        <v>453</v>
      </c>
      <c r="F486" s="12" t="s">
        <v>454</v>
      </c>
      <c r="G486" s="12" t="n">
        <v>2</v>
      </c>
      <c r="H486" s="12" t="n">
        <v>0</v>
      </c>
      <c r="I486" s="12" t="n">
        <v>1</v>
      </c>
      <c r="J486" s="12" t="s">
        <v>118</v>
      </c>
      <c r="K486" s="12" t="s">
        <v>456</v>
      </c>
      <c r="L486" s="12" t="s">
        <v>389</v>
      </c>
    </row>
    <row r="487" customFormat="false" ht="15" hidden="false" customHeight="false" outlineLevel="0" collapsed="false">
      <c r="A487" s="12" t="s">
        <v>1139</v>
      </c>
      <c r="B487" s="12" t="s">
        <v>317</v>
      </c>
      <c r="C487" s="12" t="s">
        <v>313</v>
      </c>
      <c r="D487" s="12" t="s">
        <v>70</v>
      </c>
      <c r="E487" s="12" t="s">
        <v>472</v>
      </c>
      <c r="F487" s="12" t="s">
        <v>473</v>
      </c>
      <c r="G487" s="12" t="n">
        <v>1</v>
      </c>
      <c r="H487" s="12" t="n">
        <v>0</v>
      </c>
      <c r="I487" s="12" t="n">
        <v>1</v>
      </c>
      <c r="J487" s="12" t="s">
        <v>118</v>
      </c>
      <c r="K487" s="12" t="s">
        <v>474</v>
      </c>
      <c r="L487" s="12" t="s">
        <v>418</v>
      </c>
    </row>
    <row r="488" customFormat="false" ht="15" hidden="false" customHeight="false" outlineLevel="0" collapsed="false">
      <c r="A488" s="12" t="s">
        <v>1140</v>
      </c>
      <c r="B488" s="12" t="s">
        <v>317</v>
      </c>
      <c r="C488" s="12" t="s">
        <v>313</v>
      </c>
      <c r="D488" s="12" t="s">
        <v>70</v>
      </c>
      <c r="E488" s="12" t="s">
        <v>478</v>
      </c>
      <c r="F488" s="12" t="s">
        <v>479</v>
      </c>
      <c r="G488" s="12" t="n">
        <v>1</v>
      </c>
      <c r="H488" s="12" t="n">
        <v>0</v>
      </c>
      <c r="I488" s="12" t="n">
        <v>1</v>
      </c>
      <c r="J488" s="12" t="s">
        <v>480</v>
      </c>
      <c r="K488" s="12" t="s">
        <v>388</v>
      </c>
      <c r="L488" s="12" t="s">
        <v>389</v>
      </c>
    </row>
    <row r="489" customFormat="false" ht="15" hidden="false" customHeight="false" outlineLevel="0" collapsed="false">
      <c r="A489" s="12" t="s">
        <v>1141</v>
      </c>
      <c r="B489" s="12" t="s">
        <v>321</v>
      </c>
      <c r="C489" s="12" t="s">
        <v>313</v>
      </c>
      <c r="D489" s="12" t="s">
        <v>70</v>
      </c>
      <c r="E489" s="12" t="s">
        <v>384</v>
      </c>
      <c r="F489" s="12" t="s">
        <v>385</v>
      </c>
      <c r="G489" s="12" t="n">
        <v>8</v>
      </c>
      <c r="H489" s="12" t="n">
        <v>0</v>
      </c>
      <c r="I489" s="12" t="n">
        <v>2</v>
      </c>
      <c r="J489" s="12" t="s">
        <v>113</v>
      </c>
      <c r="K489" s="12" t="s">
        <v>388</v>
      </c>
      <c r="L489" s="12" t="s">
        <v>389</v>
      </c>
    </row>
    <row r="490" customFormat="false" ht="15" hidden="false" customHeight="false" outlineLevel="0" collapsed="false">
      <c r="A490" s="12" t="s">
        <v>1142</v>
      </c>
      <c r="B490" s="12" t="s">
        <v>321</v>
      </c>
      <c r="C490" s="12" t="s">
        <v>313</v>
      </c>
      <c r="D490" s="12" t="s">
        <v>70</v>
      </c>
      <c r="E490" s="12" t="s">
        <v>392</v>
      </c>
      <c r="F490" s="12" t="s">
        <v>393</v>
      </c>
      <c r="G490" s="12" t="n">
        <v>6</v>
      </c>
      <c r="H490" s="12" t="n">
        <v>0</v>
      </c>
      <c r="I490" s="12" t="n">
        <v>1</v>
      </c>
      <c r="J490" s="12" t="s">
        <v>113</v>
      </c>
      <c r="K490" s="12" t="s">
        <v>388</v>
      </c>
      <c r="L490" s="12" t="s">
        <v>389</v>
      </c>
    </row>
    <row r="491" customFormat="false" ht="15" hidden="false" customHeight="false" outlineLevel="0" collapsed="false">
      <c r="A491" s="12" t="s">
        <v>1143</v>
      </c>
      <c r="B491" s="12" t="s">
        <v>321</v>
      </c>
      <c r="C491" s="12" t="s">
        <v>313</v>
      </c>
      <c r="D491" s="12" t="s">
        <v>70</v>
      </c>
      <c r="E491" s="12" t="s">
        <v>400</v>
      </c>
      <c r="F491" s="12" t="s">
        <v>401</v>
      </c>
      <c r="G491" s="12" t="n">
        <v>8</v>
      </c>
      <c r="H491" s="12" t="n">
        <v>0</v>
      </c>
      <c r="I491" s="12" t="n">
        <v>2</v>
      </c>
      <c r="J491" s="12" t="s">
        <v>113</v>
      </c>
      <c r="K491" s="12" t="s">
        <v>388</v>
      </c>
      <c r="L491" s="12" t="s">
        <v>389</v>
      </c>
    </row>
    <row r="492" customFormat="false" ht="15" hidden="false" customHeight="false" outlineLevel="0" collapsed="false">
      <c r="A492" s="12" t="s">
        <v>1144</v>
      </c>
      <c r="B492" s="12" t="s">
        <v>321</v>
      </c>
      <c r="C492" s="12" t="s">
        <v>313</v>
      </c>
      <c r="D492" s="12" t="s">
        <v>70</v>
      </c>
      <c r="E492" s="12" t="s">
        <v>408</v>
      </c>
      <c r="F492" s="12" t="s">
        <v>409</v>
      </c>
      <c r="G492" s="12" t="n">
        <v>8</v>
      </c>
      <c r="H492" s="12" t="n">
        <v>1</v>
      </c>
      <c r="I492" s="12" t="n">
        <v>2</v>
      </c>
      <c r="J492" s="12" t="s">
        <v>113</v>
      </c>
      <c r="K492" s="12" t="s">
        <v>388</v>
      </c>
      <c r="L492" s="12" t="s">
        <v>389</v>
      </c>
    </row>
    <row r="493" customFormat="false" ht="15" hidden="false" customHeight="false" outlineLevel="0" collapsed="false">
      <c r="A493" s="12" t="s">
        <v>1145</v>
      </c>
      <c r="B493" s="12" t="s">
        <v>321</v>
      </c>
      <c r="C493" s="12" t="s">
        <v>313</v>
      </c>
      <c r="D493" s="12" t="s">
        <v>70</v>
      </c>
      <c r="E493" s="12" t="s">
        <v>412</v>
      </c>
      <c r="F493" s="12" t="s">
        <v>413</v>
      </c>
      <c r="G493" s="12" t="n">
        <v>7</v>
      </c>
      <c r="H493" s="12" t="n">
        <v>0</v>
      </c>
      <c r="I493" s="12" t="n">
        <v>2</v>
      </c>
      <c r="J493" s="12" t="s">
        <v>113</v>
      </c>
      <c r="K493" s="12" t="s">
        <v>388</v>
      </c>
      <c r="L493" s="12" t="s">
        <v>389</v>
      </c>
    </row>
    <row r="494" customFormat="false" ht="15" hidden="false" customHeight="false" outlineLevel="0" collapsed="false">
      <c r="A494" s="12" t="s">
        <v>1146</v>
      </c>
      <c r="B494" s="12" t="s">
        <v>321</v>
      </c>
      <c r="C494" s="12" t="s">
        <v>313</v>
      </c>
      <c r="D494" s="12" t="s">
        <v>70</v>
      </c>
      <c r="E494" s="12" t="s">
        <v>414</v>
      </c>
      <c r="F494" s="12" t="s">
        <v>415</v>
      </c>
      <c r="G494" s="12" t="n">
        <v>3</v>
      </c>
      <c r="H494" s="12" t="n">
        <v>1</v>
      </c>
      <c r="I494" s="12" t="n">
        <v>2</v>
      </c>
      <c r="J494" s="12" t="s">
        <v>113</v>
      </c>
      <c r="K494" s="12" t="s">
        <v>417</v>
      </c>
      <c r="L494" s="12" t="s">
        <v>418</v>
      </c>
    </row>
    <row r="495" customFormat="false" ht="15" hidden="false" customHeight="false" outlineLevel="0" collapsed="false">
      <c r="A495" s="12" t="s">
        <v>1147</v>
      </c>
      <c r="B495" s="12" t="s">
        <v>321</v>
      </c>
      <c r="C495" s="12" t="s">
        <v>313</v>
      </c>
      <c r="D495" s="12" t="s">
        <v>70</v>
      </c>
      <c r="E495" s="12" t="s">
        <v>468</v>
      </c>
      <c r="F495" s="12" t="s">
        <v>469</v>
      </c>
      <c r="G495" s="12" t="n">
        <v>4</v>
      </c>
      <c r="H495" s="12" t="n">
        <v>0</v>
      </c>
      <c r="I495" s="12" t="n">
        <v>1</v>
      </c>
      <c r="J495" s="12" t="s">
        <v>118</v>
      </c>
      <c r="K495" s="12" t="s">
        <v>470</v>
      </c>
      <c r="L495" s="12" t="s">
        <v>418</v>
      </c>
    </row>
    <row r="496" customFormat="false" ht="15" hidden="false" customHeight="false" outlineLevel="0" collapsed="false">
      <c r="A496" s="12" t="s">
        <v>1148</v>
      </c>
      <c r="B496" s="12" t="s">
        <v>321</v>
      </c>
      <c r="C496" s="12" t="s">
        <v>313</v>
      </c>
      <c r="D496" s="12" t="s">
        <v>70</v>
      </c>
      <c r="E496" s="12" t="s">
        <v>453</v>
      </c>
      <c r="F496" s="12" t="s">
        <v>454</v>
      </c>
      <c r="G496" s="12" t="n">
        <v>2</v>
      </c>
      <c r="H496" s="12" t="n">
        <v>0</v>
      </c>
      <c r="I496" s="12" t="n">
        <v>1</v>
      </c>
      <c r="J496" s="12" t="s">
        <v>118</v>
      </c>
      <c r="K496" s="12" t="s">
        <v>456</v>
      </c>
      <c r="L496" s="12" t="s">
        <v>389</v>
      </c>
    </row>
    <row r="497" customFormat="false" ht="15" hidden="false" customHeight="false" outlineLevel="0" collapsed="false">
      <c r="A497" s="12" t="s">
        <v>1149</v>
      </c>
      <c r="B497" s="12" t="s">
        <v>321</v>
      </c>
      <c r="C497" s="12" t="s">
        <v>313</v>
      </c>
      <c r="D497" s="12" t="s">
        <v>70</v>
      </c>
      <c r="E497" s="12" t="s">
        <v>472</v>
      </c>
      <c r="F497" s="12" t="s">
        <v>473</v>
      </c>
      <c r="G497" s="12" t="n">
        <v>1</v>
      </c>
      <c r="H497" s="12" t="n">
        <v>0</v>
      </c>
      <c r="I497" s="12" t="n">
        <v>1</v>
      </c>
      <c r="J497" s="12" t="s">
        <v>118</v>
      </c>
      <c r="K497" s="12" t="s">
        <v>474</v>
      </c>
      <c r="L497" s="12" t="s">
        <v>418</v>
      </c>
    </row>
    <row r="498" customFormat="false" ht="15" hidden="false" customHeight="false" outlineLevel="0" collapsed="false">
      <c r="A498" s="12" t="s">
        <v>1150</v>
      </c>
      <c r="B498" s="12" t="s">
        <v>321</v>
      </c>
      <c r="C498" s="12" t="s">
        <v>313</v>
      </c>
      <c r="D498" s="12" t="s">
        <v>70</v>
      </c>
      <c r="E498" s="12" t="s">
        <v>478</v>
      </c>
      <c r="F498" s="12" t="s">
        <v>479</v>
      </c>
      <c r="G498" s="12" t="n">
        <v>1</v>
      </c>
      <c r="H498" s="12" t="n">
        <v>0</v>
      </c>
      <c r="I498" s="12" t="n">
        <v>1</v>
      </c>
      <c r="J498" s="12" t="s">
        <v>480</v>
      </c>
      <c r="K498" s="12" t="s">
        <v>388</v>
      </c>
      <c r="L498" s="12" t="s">
        <v>389</v>
      </c>
    </row>
    <row r="499" customFormat="false" ht="15" hidden="false" customHeight="false" outlineLevel="0" collapsed="false">
      <c r="A499" s="12" t="s">
        <v>1151</v>
      </c>
      <c r="B499" s="12" t="s">
        <v>325</v>
      </c>
      <c r="C499" s="12" t="s">
        <v>313</v>
      </c>
      <c r="D499" s="12" t="s">
        <v>70</v>
      </c>
      <c r="E499" s="12" t="s">
        <v>384</v>
      </c>
      <c r="F499" s="12" t="s">
        <v>385</v>
      </c>
      <c r="G499" s="12" t="n">
        <v>8</v>
      </c>
      <c r="H499" s="12" t="n">
        <v>0</v>
      </c>
      <c r="I499" s="12" t="n">
        <v>2</v>
      </c>
      <c r="J499" s="12" t="s">
        <v>113</v>
      </c>
      <c r="K499" s="12" t="s">
        <v>388</v>
      </c>
      <c r="L499" s="12" t="s">
        <v>389</v>
      </c>
    </row>
    <row r="500" customFormat="false" ht="15" hidden="false" customHeight="false" outlineLevel="0" collapsed="false">
      <c r="A500" s="12" t="s">
        <v>1152</v>
      </c>
      <c r="B500" s="12" t="s">
        <v>325</v>
      </c>
      <c r="C500" s="12" t="s">
        <v>313</v>
      </c>
      <c r="D500" s="12" t="s">
        <v>70</v>
      </c>
      <c r="E500" s="12" t="s">
        <v>392</v>
      </c>
      <c r="F500" s="12" t="s">
        <v>393</v>
      </c>
      <c r="G500" s="12" t="n">
        <v>6</v>
      </c>
      <c r="H500" s="12" t="n">
        <v>0</v>
      </c>
      <c r="I500" s="12" t="n">
        <v>1</v>
      </c>
      <c r="J500" s="12" t="s">
        <v>113</v>
      </c>
      <c r="K500" s="12" t="s">
        <v>388</v>
      </c>
      <c r="L500" s="12" t="s">
        <v>389</v>
      </c>
    </row>
    <row r="501" customFormat="false" ht="15" hidden="false" customHeight="false" outlineLevel="0" collapsed="false">
      <c r="A501" s="12" t="s">
        <v>1153</v>
      </c>
      <c r="B501" s="12" t="s">
        <v>325</v>
      </c>
      <c r="C501" s="12" t="s">
        <v>313</v>
      </c>
      <c r="D501" s="12" t="s">
        <v>70</v>
      </c>
      <c r="E501" s="12" t="s">
        <v>400</v>
      </c>
      <c r="F501" s="12" t="s">
        <v>401</v>
      </c>
      <c r="G501" s="12" t="n">
        <v>8</v>
      </c>
      <c r="H501" s="12" t="n">
        <v>0</v>
      </c>
      <c r="I501" s="12" t="n">
        <v>2</v>
      </c>
      <c r="J501" s="12" t="s">
        <v>113</v>
      </c>
      <c r="K501" s="12" t="s">
        <v>388</v>
      </c>
      <c r="L501" s="12" t="s">
        <v>389</v>
      </c>
    </row>
    <row r="502" customFormat="false" ht="15" hidden="false" customHeight="false" outlineLevel="0" collapsed="false">
      <c r="A502" s="12" t="s">
        <v>1154</v>
      </c>
      <c r="B502" s="12" t="s">
        <v>325</v>
      </c>
      <c r="C502" s="12" t="s">
        <v>313</v>
      </c>
      <c r="D502" s="12" t="s">
        <v>70</v>
      </c>
      <c r="E502" s="12" t="s">
        <v>408</v>
      </c>
      <c r="F502" s="12" t="s">
        <v>409</v>
      </c>
      <c r="G502" s="12" t="n">
        <v>8</v>
      </c>
      <c r="H502" s="12" t="n">
        <v>1</v>
      </c>
      <c r="I502" s="12" t="n">
        <v>2</v>
      </c>
      <c r="J502" s="12" t="s">
        <v>113</v>
      </c>
      <c r="K502" s="12" t="s">
        <v>388</v>
      </c>
      <c r="L502" s="12" t="s">
        <v>389</v>
      </c>
    </row>
    <row r="503" customFormat="false" ht="15" hidden="false" customHeight="false" outlineLevel="0" collapsed="false">
      <c r="A503" s="12" t="s">
        <v>1155</v>
      </c>
      <c r="B503" s="12" t="s">
        <v>325</v>
      </c>
      <c r="C503" s="12" t="s">
        <v>313</v>
      </c>
      <c r="D503" s="12" t="s">
        <v>70</v>
      </c>
      <c r="E503" s="12" t="s">
        <v>412</v>
      </c>
      <c r="F503" s="12" t="s">
        <v>413</v>
      </c>
      <c r="G503" s="12" t="n">
        <v>7</v>
      </c>
      <c r="H503" s="12" t="n">
        <v>0</v>
      </c>
      <c r="I503" s="12" t="n">
        <v>2</v>
      </c>
      <c r="J503" s="12" t="s">
        <v>113</v>
      </c>
      <c r="K503" s="12" t="s">
        <v>388</v>
      </c>
      <c r="L503" s="12" t="s">
        <v>389</v>
      </c>
    </row>
    <row r="504" customFormat="false" ht="15" hidden="false" customHeight="false" outlineLevel="0" collapsed="false">
      <c r="A504" s="12" t="s">
        <v>1156</v>
      </c>
      <c r="B504" s="12" t="s">
        <v>325</v>
      </c>
      <c r="C504" s="12" t="s">
        <v>313</v>
      </c>
      <c r="D504" s="12" t="s">
        <v>70</v>
      </c>
      <c r="E504" s="12" t="s">
        <v>414</v>
      </c>
      <c r="F504" s="12" t="s">
        <v>415</v>
      </c>
      <c r="G504" s="12" t="n">
        <v>3</v>
      </c>
      <c r="H504" s="12" t="n">
        <v>1</v>
      </c>
      <c r="I504" s="12" t="n">
        <v>2</v>
      </c>
      <c r="J504" s="12" t="s">
        <v>113</v>
      </c>
      <c r="K504" s="12" t="s">
        <v>417</v>
      </c>
      <c r="L504" s="12" t="s">
        <v>418</v>
      </c>
    </row>
    <row r="505" customFormat="false" ht="15" hidden="false" customHeight="false" outlineLevel="0" collapsed="false">
      <c r="A505" s="12" t="s">
        <v>1157</v>
      </c>
      <c r="B505" s="12" t="s">
        <v>325</v>
      </c>
      <c r="C505" s="12" t="s">
        <v>313</v>
      </c>
      <c r="D505" s="12" t="s">
        <v>70</v>
      </c>
      <c r="E505" s="12" t="s">
        <v>468</v>
      </c>
      <c r="F505" s="12" t="s">
        <v>469</v>
      </c>
      <c r="G505" s="12" t="n">
        <v>4</v>
      </c>
      <c r="H505" s="12" t="n">
        <v>0</v>
      </c>
      <c r="I505" s="12" t="n">
        <v>1</v>
      </c>
      <c r="J505" s="12" t="s">
        <v>118</v>
      </c>
      <c r="K505" s="12" t="s">
        <v>470</v>
      </c>
      <c r="L505" s="12" t="s">
        <v>418</v>
      </c>
    </row>
    <row r="506" customFormat="false" ht="15" hidden="false" customHeight="false" outlineLevel="0" collapsed="false">
      <c r="A506" s="12" t="s">
        <v>1158</v>
      </c>
      <c r="B506" s="12" t="s">
        <v>325</v>
      </c>
      <c r="C506" s="12" t="s">
        <v>313</v>
      </c>
      <c r="D506" s="12" t="s">
        <v>70</v>
      </c>
      <c r="E506" s="12" t="s">
        <v>453</v>
      </c>
      <c r="F506" s="12" t="s">
        <v>454</v>
      </c>
      <c r="G506" s="12" t="n">
        <v>2</v>
      </c>
      <c r="H506" s="12" t="n">
        <v>0</v>
      </c>
      <c r="I506" s="12" t="n">
        <v>1</v>
      </c>
      <c r="J506" s="12" t="s">
        <v>118</v>
      </c>
      <c r="K506" s="12" t="s">
        <v>456</v>
      </c>
      <c r="L506" s="12" t="s">
        <v>389</v>
      </c>
    </row>
    <row r="507" customFormat="false" ht="15" hidden="false" customHeight="false" outlineLevel="0" collapsed="false">
      <c r="A507" s="12" t="s">
        <v>1159</v>
      </c>
      <c r="B507" s="12" t="s">
        <v>325</v>
      </c>
      <c r="C507" s="12" t="s">
        <v>313</v>
      </c>
      <c r="D507" s="12" t="s">
        <v>70</v>
      </c>
      <c r="E507" s="12" t="s">
        <v>472</v>
      </c>
      <c r="F507" s="12" t="s">
        <v>473</v>
      </c>
      <c r="G507" s="12" t="n">
        <v>1</v>
      </c>
      <c r="H507" s="12" t="n">
        <v>0</v>
      </c>
      <c r="I507" s="12" t="n">
        <v>1</v>
      </c>
      <c r="J507" s="12" t="s">
        <v>118</v>
      </c>
      <c r="K507" s="12" t="s">
        <v>474</v>
      </c>
      <c r="L507" s="12" t="s">
        <v>418</v>
      </c>
    </row>
    <row r="508" customFormat="false" ht="15" hidden="false" customHeight="false" outlineLevel="0" collapsed="false">
      <c r="A508" s="12" t="s">
        <v>1160</v>
      </c>
      <c r="B508" s="12" t="s">
        <v>325</v>
      </c>
      <c r="C508" s="12" t="s">
        <v>313</v>
      </c>
      <c r="D508" s="12" t="s">
        <v>70</v>
      </c>
      <c r="E508" s="12" t="s">
        <v>478</v>
      </c>
      <c r="F508" s="12" t="s">
        <v>479</v>
      </c>
      <c r="G508" s="12" t="n">
        <v>1</v>
      </c>
      <c r="H508" s="12" t="n">
        <v>0</v>
      </c>
      <c r="I508" s="12" t="n">
        <v>1</v>
      </c>
      <c r="J508" s="12" t="s">
        <v>480</v>
      </c>
      <c r="K508" s="12" t="s">
        <v>388</v>
      </c>
      <c r="L508" s="12" t="s">
        <v>389</v>
      </c>
    </row>
    <row r="509" customFormat="false" ht="15" hidden="false" customHeight="false" outlineLevel="0" collapsed="false">
      <c r="A509" s="12" t="s">
        <v>1161</v>
      </c>
      <c r="B509" s="12" t="s">
        <v>329</v>
      </c>
      <c r="C509" s="12" t="s">
        <v>330</v>
      </c>
      <c r="D509" s="12" t="s">
        <v>72</v>
      </c>
      <c r="E509" s="12" t="s">
        <v>384</v>
      </c>
      <c r="F509" s="12" t="s">
        <v>385</v>
      </c>
      <c r="G509" s="12" t="n">
        <v>7</v>
      </c>
      <c r="H509" s="12" t="n">
        <v>0</v>
      </c>
      <c r="I509" s="12" t="n">
        <v>2</v>
      </c>
      <c r="J509" s="12" t="s">
        <v>116</v>
      </c>
      <c r="K509" s="12" t="s">
        <v>388</v>
      </c>
      <c r="L509" s="12" t="s">
        <v>389</v>
      </c>
    </row>
    <row r="510" customFormat="false" ht="15" hidden="false" customHeight="false" outlineLevel="0" collapsed="false">
      <c r="A510" s="12" t="s">
        <v>1162</v>
      </c>
      <c r="B510" s="12" t="s">
        <v>329</v>
      </c>
      <c r="C510" s="12" t="s">
        <v>330</v>
      </c>
      <c r="D510" s="12" t="s">
        <v>72</v>
      </c>
      <c r="E510" s="12" t="s">
        <v>421</v>
      </c>
      <c r="F510" s="12" t="s">
        <v>422</v>
      </c>
      <c r="G510" s="12" t="n">
        <v>9</v>
      </c>
      <c r="H510" s="12" t="n">
        <v>1</v>
      </c>
      <c r="I510" s="12" t="n">
        <v>2</v>
      </c>
      <c r="J510" s="12" t="s">
        <v>116</v>
      </c>
      <c r="K510" s="12" t="s">
        <v>424</v>
      </c>
      <c r="L510" s="12" t="s">
        <v>418</v>
      </c>
    </row>
    <row r="511" customFormat="false" ht="15" hidden="false" customHeight="false" outlineLevel="0" collapsed="false">
      <c r="A511" s="12" t="s">
        <v>1163</v>
      </c>
      <c r="B511" s="12" t="s">
        <v>329</v>
      </c>
      <c r="C511" s="12" t="s">
        <v>330</v>
      </c>
      <c r="D511" s="12" t="s">
        <v>72</v>
      </c>
      <c r="E511" s="12" t="s">
        <v>427</v>
      </c>
      <c r="F511" s="12" t="s">
        <v>428</v>
      </c>
      <c r="G511" s="12" t="n">
        <v>9</v>
      </c>
      <c r="H511" s="12" t="n">
        <v>1</v>
      </c>
      <c r="I511" s="12" t="n">
        <v>2</v>
      </c>
      <c r="J511" s="12" t="s">
        <v>116</v>
      </c>
      <c r="K511" s="12" t="s">
        <v>429</v>
      </c>
      <c r="L511" s="12" t="s">
        <v>418</v>
      </c>
    </row>
    <row r="512" customFormat="false" ht="15" hidden="false" customHeight="false" outlineLevel="0" collapsed="false">
      <c r="A512" s="12" t="s">
        <v>1164</v>
      </c>
      <c r="B512" s="12" t="s">
        <v>329</v>
      </c>
      <c r="C512" s="12" t="s">
        <v>330</v>
      </c>
      <c r="D512" s="12" t="s">
        <v>72</v>
      </c>
      <c r="E512" s="12" t="s">
        <v>400</v>
      </c>
      <c r="F512" s="12" t="s">
        <v>401</v>
      </c>
      <c r="G512" s="12" t="n">
        <v>10</v>
      </c>
      <c r="H512" s="12" t="n">
        <v>0</v>
      </c>
      <c r="I512" s="12" t="n">
        <v>2</v>
      </c>
      <c r="J512" s="12" t="s">
        <v>116</v>
      </c>
      <c r="K512" s="12" t="s">
        <v>388</v>
      </c>
      <c r="L512" s="12" t="s">
        <v>389</v>
      </c>
    </row>
    <row r="513" customFormat="false" ht="15" hidden="false" customHeight="false" outlineLevel="0" collapsed="false">
      <c r="A513" s="12" t="s">
        <v>1165</v>
      </c>
      <c r="B513" s="12" t="s">
        <v>329</v>
      </c>
      <c r="C513" s="12" t="s">
        <v>330</v>
      </c>
      <c r="D513" s="12" t="s">
        <v>72</v>
      </c>
      <c r="E513" s="12" t="s">
        <v>414</v>
      </c>
      <c r="F513" s="12" t="s">
        <v>415</v>
      </c>
      <c r="G513" s="12" t="n">
        <v>7</v>
      </c>
      <c r="H513" s="12" t="n">
        <v>1</v>
      </c>
      <c r="I513" s="12" t="n">
        <v>2</v>
      </c>
      <c r="J513" s="12" t="s">
        <v>116</v>
      </c>
      <c r="K513" s="12" t="s">
        <v>417</v>
      </c>
      <c r="L513" s="12" t="s">
        <v>418</v>
      </c>
    </row>
    <row r="514" customFormat="false" ht="15" hidden="false" customHeight="false" outlineLevel="0" collapsed="false">
      <c r="A514" s="12" t="s">
        <v>1166</v>
      </c>
      <c r="B514" s="12" t="s">
        <v>329</v>
      </c>
      <c r="C514" s="12" t="s">
        <v>330</v>
      </c>
      <c r="D514" s="12" t="s">
        <v>72</v>
      </c>
      <c r="E514" s="12" t="s">
        <v>468</v>
      </c>
      <c r="F514" s="12" t="s">
        <v>469</v>
      </c>
      <c r="G514" s="12" t="n">
        <v>4</v>
      </c>
      <c r="H514" s="12" t="n">
        <v>0</v>
      </c>
      <c r="I514" s="12" t="n">
        <v>1</v>
      </c>
      <c r="J514" s="12" t="s">
        <v>118</v>
      </c>
      <c r="K514" s="12" t="s">
        <v>470</v>
      </c>
      <c r="L514" s="12" t="s">
        <v>418</v>
      </c>
    </row>
    <row r="515" customFormat="false" ht="15" hidden="false" customHeight="false" outlineLevel="0" collapsed="false">
      <c r="A515" s="12" t="s">
        <v>1167</v>
      </c>
      <c r="B515" s="12" t="s">
        <v>329</v>
      </c>
      <c r="C515" s="12" t="s">
        <v>330</v>
      </c>
      <c r="D515" s="12" t="s">
        <v>72</v>
      </c>
      <c r="E515" s="12" t="s">
        <v>472</v>
      </c>
      <c r="F515" s="12" t="s">
        <v>473</v>
      </c>
      <c r="G515" s="12" t="n">
        <v>1</v>
      </c>
      <c r="H515" s="12" t="n">
        <v>0</v>
      </c>
      <c r="I515" s="12" t="n">
        <v>1</v>
      </c>
      <c r="J515" s="12" t="s">
        <v>118</v>
      </c>
      <c r="K515" s="12" t="s">
        <v>474</v>
      </c>
      <c r="L515" s="12" t="s">
        <v>418</v>
      </c>
    </row>
    <row r="516" customFormat="false" ht="15" hidden="false" customHeight="false" outlineLevel="0" collapsed="false">
      <c r="A516" s="12" t="s">
        <v>1168</v>
      </c>
      <c r="B516" s="12" t="s">
        <v>329</v>
      </c>
      <c r="C516" s="12" t="s">
        <v>330</v>
      </c>
      <c r="D516" s="12" t="s">
        <v>72</v>
      </c>
      <c r="E516" s="12" t="s">
        <v>478</v>
      </c>
      <c r="F516" s="12" t="s">
        <v>479</v>
      </c>
      <c r="G516" s="12" t="n">
        <v>1</v>
      </c>
      <c r="H516" s="12" t="n">
        <v>0</v>
      </c>
      <c r="I516" s="12" t="n">
        <v>1</v>
      </c>
      <c r="J516" s="12" t="s">
        <v>480</v>
      </c>
      <c r="K516" s="12" t="s">
        <v>388</v>
      </c>
      <c r="L516" s="12" t="s">
        <v>389</v>
      </c>
    </row>
    <row r="517" customFormat="false" ht="15" hidden="false" customHeight="false" outlineLevel="0" collapsed="false">
      <c r="A517" s="12" t="s">
        <v>1169</v>
      </c>
      <c r="B517" s="12" t="s">
        <v>335</v>
      </c>
      <c r="C517" s="12" t="s">
        <v>330</v>
      </c>
      <c r="D517" s="12" t="s">
        <v>72</v>
      </c>
      <c r="E517" s="12" t="s">
        <v>384</v>
      </c>
      <c r="F517" s="12" t="s">
        <v>385</v>
      </c>
      <c r="G517" s="12" t="n">
        <v>7</v>
      </c>
      <c r="H517" s="12" t="n">
        <v>0</v>
      </c>
      <c r="I517" s="12" t="n">
        <v>2</v>
      </c>
      <c r="J517" s="12" t="s">
        <v>116</v>
      </c>
      <c r="K517" s="12" t="s">
        <v>388</v>
      </c>
      <c r="L517" s="12" t="s">
        <v>389</v>
      </c>
    </row>
    <row r="518" customFormat="false" ht="15" hidden="false" customHeight="false" outlineLevel="0" collapsed="false">
      <c r="A518" s="12" t="s">
        <v>1170</v>
      </c>
      <c r="B518" s="12" t="s">
        <v>335</v>
      </c>
      <c r="C518" s="12" t="s">
        <v>330</v>
      </c>
      <c r="D518" s="12" t="s">
        <v>72</v>
      </c>
      <c r="E518" s="12" t="s">
        <v>421</v>
      </c>
      <c r="F518" s="12" t="s">
        <v>422</v>
      </c>
      <c r="G518" s="12" t="n">
        <v>9</v>
      </c>
      <c r="H518" s="12" t="n">
        <v>1</v>
      </c>
      <c r="I518" s="12" t="n">
        <v>2</v>
      </c>
      <c r="J518" s="12" t="s">
        <v>116</v>
      </c>
      <c r="K518" s="12" t="s">
        <v>424</v>
      </c>
      <c r="L518" s="12" t="s">
        <v>418</v>
      </c>
    </row>
    <row r="519" customFormat="false" ht="15" hidden="false" customHeight="false" outlineLevel="0" collapsed="false">
      <c r="A519" s="12" t="s">
        <v>1171</v>
      </c>
      <c r="B519" s="12" t="s">
        <v>335</v>
      </c>
      <c r="C519" s="12" t="s">
        <v>330</v>
      </c>
      <c r="D519" s="12" t="s">
        <v>72</v>
      </c>
      <c r="E519" s="12" t="s">
        <v>427</v>
      </c>
      <c r="F519" s="12" t="s">
        <v>428</v>
      </c>
      <c r="G519" s="12" t="n">
        <v>9</v>
      </c>
      <c r="H519" s="12" t="n">
        <v>1</v>
      </c>
      <c r="I519" s="12" t="n">
        <v>2</v>
      </c>
      <c r="J519" s="12" t="s">
        <v>116</v>
      </c>
      <c r="K519" s="12" t="s">
        <v>429</v>
      </c>
      <c r="L519" s="12" t="s">
        <v>418</v>
      </c>
    </row>
    <row r="520" customFormat="false" ht="15" hidden="false" customHeight="false" outlineLevel="0" collapsed="false">
      <c r="A520" s="12" t="s">
        <v>1172</v>
      </c>
      <c r="B520" s="12" t="s">
        <v>335</v>
      </c>
      <c r="C520" s="12" t="s">
        <v>330</v>
      </c>
      <c r="D520" s="12" t="s">
        <v>72</v>
      </c>
      <c r="E520" s="12" t="s">
        <v>430</v>
      </c>
      <c r="F520" s="12" t="s">
        <v>431</v>
      </c>
      <c r="G520" s="12" t="n">
        <v>10</v>
      </c>
      <c r="H520" s="12" t="n">
        <v>1</v>
      </c>
      <c r="I520" s="12" t="n">
        <v>2</v>
      </c>
      <c r="J520" s="12" t="s">
        <v>116</v>
      </c>
      <c r="K520" s="12" t="s">
        <v>432</v>
      </c>
      <c r="L520" s="12" t="s">
        <v>418</v>
      </c>
    </row>
    <row r="521" customFormat="false" ht="15" hidden="false" customHeight="false" outlineLevel="0" collapsed="false">
      <c r="A521" s="12" t="s">
        <v>1173</v>
      </c>
      <c r="B521" s="12" t="s">
        <v>335</v>
      </c>
      <c r="C521" s="12" t="s">
        <v>330</v>
      </c>
      <c r="D521" s="12" t="s">
        <v>72</v>
      </c>
      <c r="E521" s="12" t="s">
        <v>434</v>
      </c>
      <c r="F521" s="12" t="s">
        <v>435</v>
      </c>
      <c r="G521" s="12" t="n">
        <v>7</v>
      </c>
      <c r="H521" s="12" t="n">
        <v>0</v>
      </c>
      <c r="I521" s="12" t="n">
        <v>2</v>
      </c>
      <c r="J521" s="12" t="s">
        <v>116</v>
      </c>
      <c r="K521" s="12" t="s">
        <v>388</v>
      </c>
      <c r="L521" s="12" t="s">
        <v>389</v>
      </c>
    </row>
    <row r="522" customFormat="false" ht="15" hidden="false" customHeight="false" outlineLevel="0" collapsed="false">
      <c r="A522" s="12" t="s">
        <v>1174</v>
      </c>
      <c r="B522" s="12" t="s">
        <v>335</v>
      </c>
      <c r="C522" s="12" t="s">
        <v>330</v>
      </c>
      <c r="D522" s="12" t="s">
        <v>72</v>
      </c>
      <c r="E522" s="12" t="s">
        <v>468</v>
      </c>
      <c r="F522" s="12" t="s">
        <v>469</v>
      </c>
      <c r="G522" s="12" t="n">
        <v>4</v>
      </c>
      <c r="H522" s="12" t="n">
        <v>0</v>
      </c>
      <c r="I522" s="12" t="n">
        <v>1</v>
      </c>
      <c r="J522" s="12" t="s">
        <v>118</v>
      </c>
      <c r="K522" s="12" t="s">
        <v>470</v>
      </c>
      <c r="L522" s="12" t="s">
        <v>418</v>
      </c>
    </row>
    <row r="523" customFormat="false" ht="15" hidden="false" customHeight="false" outlineLevel="0" collapsed="false">
      <c r="A523" s="12" t="s">
        <v>1175</v>
      </c>
      <c r="B523" s="12" t="s">
        <v>335</v>
      </c>
      <c r="C523" s="12" t="s">
        <v>330</v>
      </c>
      <c r="D523" s="12" t="s">
        <v>72</v>
      </c>
      <c r="E523" s="12" t="s">
        <v>472</v>
      </c>
      <c r="F523" s="12" t="s">
        <v>473</v>
      </c>
      <c r="G523" s="12" t="n">
        <v>1</v>
      </c>
      <c r="H523" s="12" t="n">
        <v>0</v>
      </c>
      <c r="I523" s="12" t="n">
        <v>1</v>
      </c>
      <c r="J523" s="12" t="s">
        <v>118</v>
      </c>
      <c r="K523" s="12" t="s">
        <v>474</v>
      </c>
      <c r="L523" s="12" t="s">
        <v>418</v>
      </c>
    </row>
    <row r="524" customFormat="false" ht="15" hidden="false" customHeight="false" outlineLevel="0" collapsed="false">
      <c r="A524" s="12" t="s">
        <v>1176</v>
      </c>
      <c r="B524" s="12" t="s">
        <v>335</v>
      </c>
      <c r="C524" s="12" t="s">
        <v>330</v>
      </c>
      <c r="D524" s="12" t="s">
        <v>72</v>
      </c>
      <c r="E524" s="12" t="s">
        <v>478</v>
      </c>
      <c r="F524" s="12" t="s">
        <v>479</v>
      </c>
      <c r="G524" s="12" t="n">
        <v>1</v>
      </c>
      <c r="H524" s="12" t="n">
        <v>0</v>
      </c>
      <c r="I524" s="12" t="n">
        <v>1</v>
      </c>
      <c r="J524" s="12" t="s">
        <v>480</v>
      </c>
      <c r="K524" s="12" t="s">
        <v>388</v>
      </c>
      <c r="L524" s="12" t="s">
        <v>389</v>
      </c>
    </row>
    <row r="525" customFormat="false" ht="15" hidden="false" customHeight="false" outlineLevel="0" collapsed="false">
      <c r="A525" s="12" t="s">
        <v>1177</v>
      </c>
      <c r="B525" s="12" t="s">
        <v>340</v>
      </c>
      <c r="C525" s="12" t="s">
        <v>330</v>
      </c>
      <c r="D525" s="12" t="s">
        <v>72</v>
      </c>
      <c r="E525" s="12" t="s">
        <v>384</v>
      </c>
      <c r="F525" s="12" t="s">
        <v>385</v>
      </c>
      <c r="G525" s="12" t="n">
        <v>7</v>
      </c>
      <c r="H525" s="12" t="n">
        <v>0</v>
      </c>
      <c r="I525" s="12" t="n">
        <v>2</v>
      </c>
      <c r="J525" s="12" t="s">
        <v>116</v>
      </c>
      <c r="K525" s="12" t="s">
        <v>388</v>
      </c>
      <c r="L525" s="12" t="s">
        <v>389</v>
      </c>
    </row>
    <row r="526" customFormat="false" ht="15" hidden="false" customHeight="false" outlineLevel="0" collapsed="false">
      <c r="A526" s="12" t="s">
        <v>1178</v>
      </c>
      <c r="B526" s="12" t="s">
        <v>340</v>
      </c>
      <c r="C526" s="12" t="s">
        <v>330</v>
      </c>
      <c r="D526" s="12" t="s">
        <v>72</v>
      </c>
      <c r="E526" s="12" t="s">
        <v>421</v>
      </c>
      <c r="F526" s="12" t="s">
        <v>422</v>
      </c>
      <c r="G526" s="12" t="n">
        <v>9</v>
      </c>
      <c r="H526" s="12" t="n">
        <v>1</v>
      </c>
      <c r="I526" s="12" t="n">
        <v>2</v>
      </c>
      <c r="J526" s="12" t="s">
        <v>116</v>
      </c>
      <c r="K526" s="12" t="s">
        <v>424</v>
      </c>
      <c r="L526" s="12" t="s">
        <v>418</v>
      </c>
    </row>
    <row r="527" customFormat="false" ht="15" hidden="false" customHeight="false" outlineLevel="0" collapsed="false">
      <c r="A527" s="12" t="s">
        <v>1179</v>
      </c>
      <c r="B527" s="12" t="s">
        <v>340</v>
      </c>
      <c r="C527" s="12" t="s">
        <v>330</v>
      </c>
      <c r="D527" s="12" t="s">
        <v>72</v>
      </c>
      <c r="E527" s="12" t="s">
        <v>427</v>
      </c>
      <c r="F527" s="12" t="s">
        <v>428</v>
      </c>
      <c r="G527" s="12" t="n">
        <v>9</v>
      </c>
      <c r="H527" s="12" t="n">
        <v>1</v>
      </c>
      <c r="I527" s="12" t="n">
        <v>2</v>
      </c>
      <c r="J527" s="12" t="s">
        <v>116</v>
      </c>
      <c r="K527" s="12" t="s">
        <v>429</v>
      </c>
      <c r="L527" s="12" t="s">
        <v>418</v>
      </c>
    </row>
    <row r="528" customFormat="false" ht="15" hidden="false" customHeight="false" outlineLevel="0" collapsed="false">
      <c r="A528" s="12" t="s">
        <v>1180</v>
      </c>
      <c r="B528" s="12" t="s">
        <v>340</v>
      </c>
      <c r="C528" s="12" t="s">
        <v>330</v>
      </c>
      <c r="D528" s="12" t="s">
        <v>72</v>
      </c>
      <c r="E528" s="12" t="s">
        <v>400</v>
      </c>
      <c r="F528" s="12" t="s">
        <v>401</v>
      </c>
      <c r="G528" s="12" t="n">
        <v>10</v>
      </c>
      <c r="H528" s="12" t="n">
        <v>0</v>
      </c>
      <c r="I528" s="12" t="n">
        <v>2</v>
      </c>
      <c r="J528" s="12" t="s">
        <v>116</v>
      </c>
      <c r="K528" s="12" t="s">
        <v>388</v>
      </c>
      <c r="L528" s="12" t="s">
        <v>389</v>
      </c>
    </row>
    <row r="529" customFormat="false" ht="15" hidden="false" customHeight="false" outlineLevel="0" collapsed="false">
      <c r="A529" s="12" t="s">
        <v>1181</v>
      </c>
      <c r="B529" s="12" t="s">
        <v>340</v>
      </c>
      <c r="C529" s="12" t="s">
        <v>330</v>
      </c>
      <c r="D529" s="12" t="s">
        <v>72</v>
      </c>
      <c r="E529" s="12" t="s">
        <v>414</v>
      </c>
      <c r="F529" s="12" t="s">
        <v>415</v>
      </c>
      <c r="G529" s="12" t="n">
        <v>7</v>
      </c>
      <c r="H529" s="12" t="n">
        <v>1</v>
      </c>
      <c r="I529" s="12" t="n">
        <v>2</v>
      </c>
      <c r="J529" s="12" t="s">
        <v>116</v>
      </c>
      <c r="K529" s="12" t="s">
        <v>417</v>
      </c>
      <c r="L529" s="12" t="s">
        <v>418</v>
      </c>
    </row>
    <row r="530" customFormat="false" ht="15" hidden="false" customHeight="false" outlineLevel="0" collapsed="false">
      <c r="A530" s="12" t="s">
        <v>1182</v>
      </c>
      <c r="B530" s="12" t="s">
        <v>340</v>
      </c>
      <c r="C530" s="12" t="s">
        <v>330</v>
      </c>
      <c r="D530" s="12" t="s">
        <v>72</v>
      </c>
      <c r="E530" s="12" t="s">
        <v>468</v>
      </c>
      <c r="F530" s="12" t="s">
        <v>469</v>
      </c>
      <c r="G530" s="12" t="n">
        <v>4</v>
      </c>
      <c r="H530" s="12" t="n">
        <v>0</v>
      </c>
      <c r="I530" s="12" t="n">
        <v>1</v>
      </c>
      <c r="J530" s="12" t="s">
        <v>118</v>
      </c>
      <c r="K530" s="12" t="s">
        <v>470</v>
      </c>
      <c r="L530" s="12" t="s">
        <v>418</v>
      </c>
    </row>
    <row r="531" customFormat="false" ht="15" hidden="false" customHeight="false" outlineLevel="0" collapsed="false">
      <c r="A531" s="12" t="s">
        <v>1183</v>
      </c>
      <c r="B531" s="12" t="s">
        <v>340</v>
      </c>
      <c r="C531" s="12" t="s">
        <v>330</v>
      </c>
      <c r="D531" s="12" t="s">
        <v>72</v>
      </c>
      <c r="E531" s="12" t="s">
        <v>472</v>
      </c>
      <c r="F531" s="12" t="s">
        <v>473</v>
      </c>
      <c r="G531" s="12" t="n">
        <v>1</v>
      </c>
      <c r="H531" s="12" t="n">
        <v>0</v>
      </c>
      <c r="I531" s="12" t="n">
        <v>1</v>
      </c>
      <c r="J531" s="12" t="s">
        <v>118</v>
      </c>
      <c r="K531" s="12" t="s">
        <v>474</v>
      </c>
      <c r="L531" s="12" t="s">
        <v>418</v>
      </c>
    </row>
    <row r="532" customFormat="false" ht="15" hidden="false" customHeight="false" outlineLevel="0" collapsed="false">
      <c r="A532" s="12" t="s">
        <v>1184</v>
      </c>
      <c r="B532" s="12" t="s">
        <v>340</v>
      </c>
      <c r="C532" s="12" t="s">
        <v>330</v>
      </c>
      <c r="D532" s="12" t="s">
        <v>72</v>
      </c>
      <c r="E532" s="12" t="s">
        <v>478</v>
      </c>
      <c r="F532" s="12" t="s">
        <v>479</v>
      </c>
      <c r="G532" s="12" t="n">
        <v>1</v>
      </c>
      <c r="H532" s="12" t="n">
        <v>0</v>
      </c>
      <c r="I532" s="12" t="n">
        <v>1</v>
      </c>
      <c r="J532" s="12" t="s">
        <v>480</v>
      </c>
      <c r="K532" s="12" t="s">
        <v>388</v>
      </c>
      <c r="L532" s="12" t="s">
        <v>389</v>
      </c>
    </row>
    <row r="533" customFormat="false" ht="15" hidden="false" customHeight="false" outlineLevel="0" collapsed="false">
      <c r="A533" s="12" t="s">
        <v>1185</v>
      </c>
      <c r="B533" s="12" t="s">
        <v>344</v>
      </c>
      <c r="C533" s="12" t="s">
        <v>330</v>
      </c>
      <c r="D533" s="12" t="s">
        <v>72</v>
      </c>
      <c r="E533" s="12" t="s">
        <v>384</v>
      </c>
      <c r="F533" s="12" t="s">
        <v>385</v>
      </c>
      <c r="G533" s="12" t="n">
        <v>7</v>
      </c>
      <c r="H533" s="12" t="n">
        <v>0</v>
      </c>
      <c r="I533" s="12" t="n">
        <v>2</v>
      </c>
      <c r="J533" s="12" t="s">
        <v>116</v>
      </c>
      <c r="K533" s="12" t="s">
        <v>388</v>
      </c>
      <c r="L533" s="12" t="s">
        <v>389</v>
      </c>
    </row>
    <row r="534" customFormat="false" ht="15" hidden="false" customHeight="false" outlineLevel="0" collapsed="false">
      <c r="A534" s="12" t="s">
        <v>1186</v>
      </c>
      <c r="B534" s="12" t="s">
        <v>344</v>
      </c>
      <c r="C534" s="12" t="s">
        <v>330</v>
      </c>
      <c r="D534" s="12" t="s">
        <v>72</v>
      </c>
      <c r="E534" s="12" t="s">
        <v>437</v>
      </c>
      <c r="F534" s="12" t="s">
        <v>438</v>
      </c>
      <c r="G534" s="12" t="n">
        <v>10</v>
      </c>
      <c r="H534" s="12" t="n">
        <v>0</v>
      </c>
      <c r="I534" s="12" t="n">
        <v>2</v>
      </c>
      <c r="J534" s="12" t="s">
        <v>116</v>
      </c>
      <c r="K534" s="12" t="s">
        <v>388</v>
      </c>
      <c r="L534" s="12" t="s">
        <v>389</v>
      </c>
    </row>
    <row r="535" customFormat="false" ht="15" hidden="false" customHeight="false" outlineLevel="0" collapsed="false">
      <c r="A535" s="12" t="s">
        <v>1187</v>
      </c>
      <c r="B535" s="12" t="s">
        <v>344</v>
      </c>
      <c r="C535" s="12" t="s">
        <v>330</v>
      </c>
      <c r="D535" s="12" t="s">
        <v>72</v>
      </c>
      <c r="E535" s="12" t="s">
        <v>440</v>
      </c>
      <c r="F535" s="12" t="s">
        <v>441</v>
      </c>
      <c r="G535" s="12" t="n">
        <v>9</v>
      </c>
      <c r="H535" s="12" t="n">
        <v>0</v>
      </c>
      <c r="I535" s="12" t="n">
        <v>2</v>
      </c>
      <c r="J535" s="12" t="s">
        <v>116</v>
      </c>
      <c r="K535" s="12" t="s">
        <v>388</v>
      </c>
      <c r="L535" s="12" t="s">
        <v>389</v>
      </c>
    </row>
    <row r="536" customFormat="false" ht="15" hidden="false" customHeight="false" outlineLevel="0" collapsed="false">
      <c r="A536" s="12" t="s">
        <v>1188</v>
      </c>
      <c r="B536" s="12" t="s">
        <v>344</v>
      </c>
      <c r="C536" s="12" t="s">
        <v>330</v>
      </c>
      <c r="D536" s="12" t="s">
        <v>72</v>
      </c>
      <c r="E536" s="12" t="s">
        <v>442</v>
      </c>
      <c r="F536" s="12" t="s">
        <v>443</v>
      </c>
      <c r="G536" s="12" t="n">
        <v>9</v>
      </c>
      <c r="H536" s="12" t="n">
        <v>0</v>
      </c>
      <c r="I536" s="12" t="n">
        <v>2</v>
      </c>
      <c r="J536" s="12" t="s">
        <v>116</v>
      </c>
      <c r="K536" s="12" t="s">
        <v>388</v>
      </c>
      <c r="L536" s="12" t="s">
        <v>389</v>
      </c>
    </row>
    <row r="537" customFormat="false" ht="15" hidden="false" customHeight="false" outlineLevel="0" collapsed="false">
      <c r="A537" s="12" t="s">
        <v>1189</v>
      </c>
      <c r="B537" s="12" t="s">
        <v>344</v>
      </c>
      <c r="C537" s="12" t="s">
        <v>330</v>
      </c>
      <c r="D537" s="12" t="s">
        <v>72</v>
      </c>
      <c r="E537" s="12" t="s">
        <v>400</v>
      </c>
      <c r="F537" s="12" t="s">
        <v>401</v>
      </c>
      <c r="G537" s="12" t="n">
        <v>7</v>
      </c>
      <c r="H537" s="12" t="n">
        <v>0</v>
      </c>
      <c r="I537" s="12" t="n">
        <v>2</v>
      </c>
      <c r="J537" s="12" t="s">
        <v>116</v>
      </c>
      <c r="K537" s="12" t="s">
        <v>388</v>
      </c>
      <c r="L537" s="12" t="s">
        <v>389</v>
      </c>
    </row>
    <row r="538" customFormat="false" ht="15" hidden="false" customHeight="false" outlineLevel="0" collapsed="false">
      <c r="A538" s="12" t="s">
        <v>1190</v>
      </c>
      <c r="B538" s="12" t="s">
        <v>344</v>
      </c>
      <c r="C538" s="12" t="s">
        <v>330</v>
      </c>
      <c r="D538" s="12" t="s">
        <v>72</v>
      </c>
      <c r="E538" s="12" t="s">
        <v>468</v>
      </c>
      <c r="F538" s="12" t="s">
        <v>469</v>
      </c>
      <c r="G538" s="12" t="n">
        <v>4</v>
      </c>
      <c r="H538" s="12" t="n">
        <v>0</v>
      </c>
      <c r="I538" s="12" t="n">
        <v>1</v>
      </c>
      <c r="J538" s="12" t="s">
        <v>118</v>
      </c>
      <c r="K538" s="12" t="s">
        <v>470</v>
      </c>
      <c r="L538" s="12" t="s">
        <v>418</v>
      </c>
    </row>
    <row r="539" customFormat="false" ht="15" hidden="false" customHeight="false" outlineLevel="0" collapsed="false">
      <c r="A539" s="12" t="s">
        <v>1191</v>
      </c>
      <c r="B539" s="12" t="s">
        <v>344</v>
      </c>
      <c r="C539" s="12" t="s">
        <v>330</v>
      </c>
      <c r="D539" s="12" t="s">
        <v>72</v>
      </c>
      <c r="E539" s="12" t="s">
        <v>472</v>
      </c>
      <c r="F539" s="12" t="s">
        <v>473</v>
      </c>
      <c r="G539" s="12" t="n">
        <v>1</v>
      </c>
      <c r="H539" s="12" t="n">
        <v>0</v>
      </c>
      <c r="I539" s="12" t="n">
        <v>1</v>
      </c>
      <c r="J539" s="12" t="s">
        <v>118</v>
      </c>
      <c r="K539" s="12" t="s">
        <v>474</v>
      </c>
      <c r="L539" s="12" t="s">
        <v>418</v>
      </c>
    </row>
    <row r="540" customFormat="false" ht="15" hidden="false" customHeight="false" outlineLevel="0" collapsed="false">
      <c r="A540" s="12" t="s">
        <v>1192</v>
      </c>
      <c r="B540" s="12" t="s">
        <v>344</v>
      </c>
      <c r="C540" s="12" t="s">
        <v>330</v>
      </c>
      <c r="D540" s="12" t="s">
        <v>72</v>
      </c>
      <c r="E540" s="12" t="s">
        <v>478</v>
      </c>
      <c r="F540" s="12" t="s">
        <v>479</v>
      </c>
      <c r="G540" s="12" t="n">
        <v>1</v>
      </c>
      <c r="H540" s="12" t="n">
        <v>0</v>
      </c>
      <c r="I540" s="12" t="n">
        <v>1</v>
      </c>
      <c r="J540" s="12" t="s">
        <v>480</v>
      </c>
      <c r="K540" s="12" t="s">
        <v>388</v>
      </c>
      <c r="L540" s="12" t="s">
        <v>389</v>
      </c>
    </row>
    <row r="541" customFormat="false" ht="15" hidden="false" customHeight="false" outlineLevel="0" collapsed="false">
      <c r="A541" s="12" t="s">
        <v>1193</v>
      </c>
      <c r="B541" s="12" t="s">
        <v>349</v>
      </c>
      <c r="C541" s="12" t="s">
        <v>330</v>
      </c>
      <c r="D541" s="12" t="s">
        <v>72</v>
      </c>
      <c r="E541" s="12" t="s">
        <v>384</v>
      </c>
      <c r="F541" s="12" t="s">
        <v>385</v>
      </c>
      <c r="G541" s="12" t="n">
        <v>7</v>
      </c>
      <c r="H541" s="12" t="n">
        <v>0</v>
      </c>
      <c r="I541" s="12" t="n">
        <v>2</v>
      </c>
      <c r="J541" s="12" t="s">
        <v>116</v>
      </c>
      <c r="K541" s="12" t="s">
        <v>388</v>
      </c>
      <c r="L541" s="12" t="s">
        <v>389</v>
      </c>
    </row>
    <row r="542" customFormat="false" ht="15" hidden="false" customHeight="false" outlineLevel="0" collapsed="false">
      <c r="A542" s="12" t="s">
        <v>1194</v>
      </c>
      <c r="B542" s="12" t="s">
        <v>349</v>
      </c>
      <c r="C542" s="12" t="s">
        <v>330</v>
      </c>
      <c r="D542" s="12" t="s">
        <v>72</v>
      </c>
      <c r="E542" s="12" t="s">
        <v>437</v>
      </c>
      <c r="F542" s="12" t="s">
        <v>438</v>
      </c>
      <c r="G542" s="12" t="n">
        <v>10</v>
      </c>
      <c r="H542" s="12" t="n">
        <v>0</v>
      </c>
      <c r="I542" s="12" t="n">
        <v>2</v>
      </c>
      <c r="J542" s="12" t="s">
        <v>116</v>
      </c>
      <c r="K542" s="12" t="s">
        <v>388</v>
      </c>
      <c r="L542" s="12" t="s">
        <v>389</v>
      </c>
    </row>
    <row r="543" customFormat="false" ht="15" hidden="false" customHeight="false" outlineLevel="0" collapsed="false">
      <c r="A543" s="12" t="s">
        <v>1195</v>
      </c>
      <c r="B543" s="12" t="s">
        <v>349</v>
      </c>
      <c r="C543" s="12" t="s">
        <v>330</v>
      </c>
      <c r="D543" s="12" t="s">
        <v>72</v>
      </c>
      <c r="E543" s="12" t="s">
        <v>440</v>
      </c>
      <c r="F543" s="12" t="s">
        <v>441</v>
      </c>
      <c r="G543" s="12" t="n">
        <v>9</v>
      </c>
      <c r="H543" s="12" t="n">
        <v>0</v>
      </c>
      <c r="I543" s="12" t="n">
        <v>2</v>
      </c>
      <c r="J543" s="12" t="s">
        <v>116</v>
      </c>
      <c r="K543" s="12" t="s">
        <v>388</v>
      </c>
      <c r="L543" s="12" t="s">
        <v>389</v>
      </c>
    </row>
    <row r="544" customFormat="false" ht="15" hidden="false" customHeight="false" outlineLevel="0" collapsed="false">
      <c r="A544" s="12" t="s">
        <v>1196</v>
      </c>
      <c r="B544" s="12" t="s">
        <v>349</v>
      </c>
      <c r="C544" s="12" t="s">
        <v>330</v>
      </c>
      <c r="D544" s="12" t="s">
        <v>72</v>
      </c>
      <c r="E544" s="12" t="s">
        <v>442</v>
      </c>
      <c r="F544" s="12" t="s">
        <v>443</v>
      </c>
      <c r="G544" s="12" t="n">
        <v>9</v>
      </c>
      <c r="H544" s="12" t="n">
        <v>0</v>
      </c>
      <c r="I544" s="12" t="n">
        <v>2</v>
      </c>
      <c r="J544" s="12" t="s">
        <v>116</v>
      </c>
      <c r="K544" s="12" t="s">
        <v>388</v>
      </c>
      <c r="L544" s="12" t="s">
        <v>389</v>
      </c>
    </row>
    <row r="545" customFormat="false" ht="15" hidden="false" customHeight="false" outlineLevel="0" collapsed="false">
      <c r="A545" s="12" t="s">
        <v>1197</v>
      </c>
      <c r="B545" s="12" t="s">
        <v>349</v>
      </c>
      <c r="C545" s="12" t="s">
        <v>330</v>
      </c>
      <c r="D545" s="12" t="s">
        <v>72</v>
      </c>
      <c r="E545" s="12" t="s">
        <v>400</v>
      </c>
      <c r="F545" s="12" t="s">
        <v>401</v>
      </c>
      <c r="G545" s="12" t="n">
        <v>7</v>
      </c>
      <c r="H545" s="12" t="n">
        <v>0</v>
      </c>
      <c r="I545" s="12" t="n">
        <v>2</v>
      </c>
      <c r="J545" s="12" t="s">
        <v>116</v>
      </c>
      <c r="K545" s="12" t="s">
        <v>388</v>
      </c>
      <c r="L545" s="12" t="s">
        <v>389</v>
      </c>
    </row>
    <row r="546" customFormat="false" ht="15" hidden="false" customHeight="false" outlineLevel="0" collapsed="false">
      <c r="A546" s="12" t="s">
        <v>1198</v>
      </c>
      <c r="B546" s="12" t="s">
        <v>349</v>
      </c>
      <c r="C546" s="12" t="s">
        <v>330</v>
      </c>
      <c r="D546" s="12" t="s">
        <v>72</v>
      </c>
      <c r="E546" s="12" t="s">
        <v>468</v>
      </c>
      <c r="F546" s="12" t="s">
        <v>469</v>
      </c>
      <c r="G546" s="12" t="n">
        <v>4</v>
      </c>
      <c r="H546" s="12" t="n">
        <v>0</v>
      </c>
      <c r="I546" s="12" t="n">
        <v>1</v>
      </c>
      <c r="J546" s="12" t="s">
        <v>118</v>
      </c>
      <c r="K546" s="12" t="s">
        <v>470</v>
      </c>
      <c r="L546" s="12" t="s">
        <v>418</v>
      </c>
    </row>
    <row r="547" customFormat="false" ht="15" hidden="false" customHeight="false" outlineLevel="0" collapsed="false">
      <c r="A547" s="12" t="s">
        <v>1199</v>
      </c>
      <c r="B547" s="12" t="s">
        <v>349</v>
      </c>
      <c r="C547" s="12" t="s">
        <v>330</v>
      </c>
      <c r="D547" s="12" t="s">
        <v>72</v>
      </c>
      <c r="E547" s="12" t="s">
        <v>472</v>
      </c>
      <c r="F547" s="12" t="s">
        <v>473</v>
      </c>
      <c r="G547" s="12" t="n">
        <v>1</v>
      </c>
      <c r="H547" s="12" t="n">
        <v>0</v>
      </c>
      <c r="I547" s="12" t="n">
        <v>1</v>
      </c>
      <c r="J547" s="12" t="s">
        <v>118</v>
      </c>
      <c r="K547" s="12" t="s">
        <v>474</v>
      </c>
      <c r="L547" s="12" t="s">
        <v>418</v>
      </c>
    </row>
    <row r="548" customFormat="false" ht="15" hidden="false" customHeight="false" outlineLevel="0" collapsed="false">
      <c r="A548" s="12" t="s">
        <v>1200</v>
      </c>
      <c r="B548" s="12" t="s">
        <v>349</v>
      </c>
      <c r="C548" s="12" t="s">
        <v>330</v>
      </c>
      <c r="D548" s="12" t="s">
        <v>72</v>
      </c>
      <c r="E548" s="12" t="s">
        <v>478</v>
      </c>
      <c r="F548" s="12" t="s">
        <v>479</v>
      </c>
      <c r="G548" s="12" t="n">
        <v>1</v>
      </c>
      <c r="H548" s="12" t="n">
        <v>0</v>
      </c>
      <c r="I548" s="12" t="n">
        <v>1</v>
      </c>
      <c r="J548" s="12" t="s">
        <v>480</v>
      </c>
      <c r="K548" s="12" t="s">
        <v>388</v>
      </c>
      <c r="L548" s="12" t="s">
        <v>389</v>
      </c>
    </row>
    <row r="549" customFormat="false" ht="15" hidden="false" customHeight="false" outlineLevel="0" collapsed="false">
      <c r="A549" s="12" t="s">
        <v>1201</v>
      </c>
      <c r="B549" s="12" t="s">
        <v>353</v>
      </c>
      <c r="C549" s="12" t="s">
        <v>330</v>
      </c>
      <c r="D549" s="12" t="s">
        <v>72</v>
      </c>
      <c r="E549" s="12" t="s">
        <v>384</v>
      </c>
      <c r="F549" s="12" t="s">
        <v>385</v>
      </c>
      <c r="G549" s="12" t="n">
        <v>7</v>
      </c>
      <c r="H549" s="12" t="n">
        <v>0</v>
      </c>
      <c r="I549" s="12" t="n">
        <v>2</v>
      </c>
      <c r="J549" s="12" t="s">
        <v>116</v>
      </c>
      <c r="K549" s="12" t="s">
        <v>388</v>
      </c>
      <c r="L549" s="12" t="s">
        <v>389</v>
      </c>
    </row>
    <row r="550" customFormat="false" ht="15" hidden="false" customHeight="false" outlineLevel="0" collapsed="false">
      <c r="A550" s="12" t="s">
        <v>1202</v>
      </c>
      <c r="B550" s="12" t="s">
        <v>353</v>
      </c>
      <c r="C550" s="12" t="s">
        <v>330</v>
      </c>
      <c r="D550" s="12" t="s">
        <v>72</v>
      </c>
      <c r="E550" s="12" t="s">
        <v>446</v>
      </c>
      <c r="F550" s="12" t="s">
        <v>447</v>
      </c>
      <c r="G550" s="12" t="n">
        <v>9</v>
      </c>
      <c r="H550" s="12" t="n">
        <v>0</v>
      </c>
      <c r="I550" s="12" t="n">
        <v>2</v>
      </c>
      <c r="J550" s="12" t="s">
        <v>116</v>
      </c>
      <c r="K550" s="12" t="s">
        <v>388</v>
      </c>
      <c r="L550" s="12" t="s">
        <v>389</v>
      </c>
    </row>
    <row r="551" customFormat="false" ht="15" hidden="false" customHeight="false" outlineLevel="0" collapsed="false">
      <c r="A551" s="12" t="s">
        <v>1203</v>
      </c>
      <c r="B551" s="12" t="s">
        <v>353</v>
      </c>
      <c r="C551" s="12" t="s">
        <v>330</v>
      </c>
      <c r="D551" s="12" t="s">
        <v>72</v>
      </c>
      <c r="E551" s="12" t="s">
        <v>449</v>
      </c>
      <c r="F551" s="12" t="s">
        <v>450</v>
      </c>
      <c r="G551" s="12" t="n">
        <v>9</v>
      </c>
      <c r="H551" s="12" t="n">
        <v>0</v>
      </c>
      <c r="I551" s="12" t="n">
        <v>2</v>
      </c>
      <c r="J551" s="12" t="s">
        <v>116</v>
      </c>
      <c r="K551" s="12" t="s">
        <v>388</v>
      </c>
      <c r="L551" s="12" t="s">
        <v>389</v>
      </c>
    </row>
    <row r="552" customFormat="false" ht="15" hidden="false" customHeight="false" outlineLevel="0" collapsed="false">
      <c r="A552" s="12" t="s">
        <v>1204</v>
      </c>
      <c r="B552" s="12" t="s">
        <v>353</v>
      </c>
      <c r="C552" s="12" t="s">
        <v>330</v>
      </c>
      <c r="D552" s="12" t="s">
        <v>72</v>
      </c>
      <c r="E552" s="12" t="s">
        <v>451</v>
      </c>
      <c r="F552" s="12" t="s">
        <v>452</v>
      </c>
      <c r="G552" s="12" t="n">
        <v>9</v>
      </c>
      <c r="H552" s="12" t="n">
        <v>0</v>
      </c>
      <c r="I552" s="12" t="n">
        <v>2</v>
      </c>
      <c r="J552" s="12" t="s">
        <v>116</v>
      </c>
      <c r="K552" s="12" t="s">
        <v>388</v>
      </c>
      <c r="L552" s="12" t="s">
        <v>389</v>
      </c>
    </row>
    <row r="553" customFormat="false" ht="15" hidden="false" customHeight="false" outlineLevel="0" collapsed="false">
      <c r="A553" s="12" t="s">
        <v>1205</v>
      </c>
      <c r="B553" s="12" t="s">
        <v>353</v>
      </c>
      <c r="C553" s="12" t="s">
        <v>330</v>
      </c>
      <c r="D553" s="12" t="s">
        <v>72</v>
      </c>
      <c r="E553" s="12" t="s">
        <v>442</v>
      </c>
      <c r="F553" s="12" t="s">
        <v>443</v>
      </c>
      <c r="G553" s="12" t="n">
        <v>8</v>
      </c>
      <c r="H553" s="12" t="n">
        <v>0</v>
      </c>
      <c r="I553" s="12" t="n">
        <v>2</v>
      </c>
      <c r="J553" s="12" t="s">
        <v>116</v>
      </c>
      <c r="K553" s="12" t="s">
        <v>388</v>
      </c>
      <c r="L553" s="12" t="s">
        <v>389</v>
      </c>
    </row>
    <row r="554" customFormat="false" ht="15" hidden="false" customHeight="false" outlineLevel="0" collapsed="false">
      <c r="A554" s="12" t="s">
        <v>1206</v>
      </c>
      <c r="B554" s="12" t="s">
        <v>353</v>
      </c>
      <c r="C554" s="12" t="s">
        <v>330</v>
      </c>
      <c r="D554" s="12" t="s">
        <v>72</v>
      </c>
      <c r="E554" s="12" t="s">
        <v>468</v>
      </c>
      <c r="F554" s="12" t="s">
        <v>469</v>
      </c>
      <c r="G554" s="12" t="n">
        <v>4</v>
      </c>
      <c r="H554" s="12" t="n">
        <v>0</v>
      </c>
      <c r="I554" s="12" t="n">
        <v>1</v>
      </c>
      <c r="J554" s="12" t="s">
        <v>118</v>
      </c>
      <c r="K554" s="12" t="s">
        <v>470</v>
      </c>
      <c r="L554" s="12" t="s">
        <v>418</v>
      </c>
    </row>
    <row r="555" customFormat="false" ht="15" hidden="false" customHeight="false" outlineLevel="0" collapsed="false">
      <c r="A555" s="12" t="s">
        <v>1207</v>
      </c>
      <c r="B555" s="12" t="s">
        <v>353</v>
      </c>
      <c r="C555" s="12" t="s">
        <v>330</v>
      </c>
      <c r="D555" s="12" t="s">
        <v>72</v>
      </c>
      <c r="E555" s="12" t="s">
        <v>472</v>
      </c>
      <c r="F555" s="12" t="s">
        <v>473</v>
      </c>
      <c r="G555" s="12" t="n">
        <v>1</v>
      </c>
      <c r="H555" s="12" t="n">
        <v>0</v>
      </c>
      <c r="I555" s="12" t="n">
        <v>1</v>
      </c>
      <c r="J555" s="12" t="s">
        <v>118</v>
      </c>
      <c r="K555" s="12" t="s">
        <v>474</v>
      </c>
      <c r="L555" s="12" t="s">
        <v>418</v>
      </c>
    </row>
    <row r="556" customFormat="false" ht="15" hidden="false" customHeight="false" outlineLevel="0" collapsed="false">
      <c r="A556" s="12" t="s">
        <v>1208</v>
      </c>
      <c r="B556" s="12" t="s">
        <v>353</v>
      </c>
      <c r="C556" s="12" t="s">
        <v>330</v>
      </c>
      <c r="D556" s="12" t="s">
        <v>72</v>
      </c>
      <c r="E556" s="12" t="s">
        <v>478</v>
      </c>
      <c r="F556" s="12" t="s">
        <v>479</v>
      </c>
      <c r="G556" s="12" t="n">
        <v>1</v>
      </c>
      <c r="H556" s="12" t="n">
        <v>0</v>
      </c>
      <c r="I556" s="12" t="n">
        <v>1</v>
      </c>
      <c r="J556" s="12" t="s">
        <v>480</v>
      </c>
      <c r="K556" s="12" t="s">
        <v>388</v>
      </c>
      <c r="L556" s="12" t="s">
        <v>389</v>
      </c>
    </row>
    <row r="557" customFormat="false" ht="15" hidden="false" customHeight="false" outlineLevel="0" collapsed="false">
      <c r="A557" s="12" t="s">
        <v>1209</v>
      </c>
      <c r="B557" s="12" t="s">
        <v>359</v>
      </c>
      <c r="C557" s="12" t="s">
        <v>360</v>
      </c>
      <c r="D557" s="12" t="s">
        <v>72</v>
      </c>
      <c r="E557" s="12" t="s">
        <v>384</v>
      </c>
      <c r="F557" s="12" t="s">
        <v>385</v>
      </c>
      <c r="G557" s="12" t="n">
        <v>7</v>
      </c>
      <c r="H557" s="12" t="n">
        <v>0</v>
      </c>
      <c r="I557" s="12" t="n">
        <v>2</v>
      </c>
      <c r="J557" s="12" t="s">
        <v>116</v>
      </c>
      <c r="K557" s="12" t="s">
        <v>388</v>
      </c>
      <c r="L557" s="12" t="s">
        <v>389</v>
      </c>
    </row>
    <row r="558" customFormat="false" ht="15" hidden="false" customHeight="false" outlineLevel="0" collapsed="false">
      <c r="A558" s="12" t="s">
        <v>1210</v>
      </c>
      <c r="B558" s="12" t="s">
        <v>359</v>
      </c>
      <c r="C558" s="12" t="s">
        <v>360</v>
      </c>
      <c r="D558" s="12" t="s">
        <v>72</v>
      </c>
      <c r="E558" s="12" t="s">
        <v>421</v>
      </c>
      <c r="F558" s="12" t="s">
        <v>422</v>
      </c>
      <c r="G558" s="12" t="n">
        <v>9</v>
      </c>
      <c r="H558" s="12" t="n">
        <v>1</v>
      </c>
      <c r="I558" s="12" t="n">
        <v>2</v>
      </c>
      <c r="J558" s="12" t="s">
        <v>116</v>
      </c>
      <c r="K558" s="12" t="s">
        <v>424</v>
      </c>
      <c r="L558" s="12" t="s">
        <v>418</v>
      </c>
    </row>
    <row r="559" customFormat="false" ht="15" hidden="false" customHeight="false" outlineLevel="0" collapsed="false">
      <c r="A559" s="12" t="s">
        <v>1211</v>
      </c>
      <c r="B559" s="12" t="s">
        <v>359</v>
      </c>
      <c r="C559" s="12" t="s">
        <v>360</v>
      </c>
      <c r="D559" s="12" t="s">
        <v>72</v>
      </c>
      <c r="E559" s="12" t="s">
        <v>427</v>
      </c>
      <c r="F559" s="12" t="s">
        <v>428</v>
      </c>
      <c r="G559" s="12" t="n">
        <v>9</v>
      </c>
      <c r="H559" s="12" t="n">
        <v>1</v>
      </c>
      <c r="I559" s="12" t="n">
        <v>2</v>
      </c>
      <c r="J559" s="12" t="s">
        <v>116</v>
      </c>
      <c r="K559" s="12" t="s">
        <v>429</v>
      </c>
      <c r="L559" s="12" t="s">
        <v>418</v>
      </c>
    </row>
    <row r="560" customFormat="false" ht="15" hidden="false" customHeight="false" outlineLevel="0" collapsed="false">
      <c r="A560" s="12" t="s">
        <v>1212</v>
      </c>
      <c r="B560" s="12" t="s">
        <v>359</v>
      </c>
      <c r="C560" s="12" t="s">
        <v>360</v>
      </c>
      <c r="D560" s="12" t="s">
        <v>72</v>
      </c>
      <c r="E560" s="12" t="s">
        <v>400</v>
      </c>
      <c r="F560" s="12" t="s">
        <v>401</v>
      </c>
      <c r="G560" s="12" t="n">
        <v>10</v>
      </c>
      <c r="H560" s="12" t="n">
        <v>0</v>
      </c>
      <c r="I560" s="12" t="n">
        <v>2</v>
      </c>
      <c r="J560" s="12" t="s">
        <v>116</v>
      </c>
      <c r="K560" s="12" t="s">
        <v>388</v>
      </c>
      <c r="L560" s="12" t="s">
        <v>389</v>
      </c>
    </row>
    <row r="561" customFormat="false" ht="15" hidden="false" customHeight="false" outlineLevel="0" collapsed="false">
      <c r="A561" s="12" t="s">
        <v>1213</v>
      </c>
      <c r="B561" s="12" t="s">
        <v>359</v>
      </c>
      <c r="C561" s="12" t="s">
        <v>360</v>
      </c>
      <c r="D561" s="12" t="s">
        <v>72</v>
      </c>
      <c r="E561" s="12" t="s">
        <v>414</v>
      </c>
      <c r="F561" s="12" t="s">
        <v>415</v>
      </c>
      <c r="G561" s="12" t="n">
        <v>7</v>
      </c>
      <c r="H561" s="12" t="n">
        <v>1</v>
      </c>
      <c r="I561" s="12" t="n">
        <v>2</v>
      </c>
      <c r="J561" s="12" t="s">
        <v>116</v>
      </c>
      <c r="K561" s="12" t="s">
        <v>417</v>
      </c>
      <c r="L561" s="12" t="s">
        <v>418</v>
      </c>
    </row>
    <row r="562" customFormat="false" ht="15" hidden="false" customHeight="false" outlineLevel="0" collapsed="false">
      <c r="A562" s="12" t="s">
        <v>1214</v>
      </c>
      <c r="B562" s="12" t="s">
        <v>359</v>
      </c>
      <c r="C562" s="12" t="s">
        <v>360</v>
      </c>
      <c r="D562" s="12" t="s">
        <v>72</v>
      </c>
      <c r="E562" s="12" t="s">
        <v>468</v>
      </c>
      <c r="F562" s="12" t="s">
        <v>469</v>
      </c>
      <c r="G562" s="12" t="n">
        <v>4</v>
      </c>
      <c r="H562" s="12" t="n">
        <v>0</v>
      </c>
      <c r="I562" s="12" t="n">
        <v>1</v>
      </c>
      <c r="J562" s="12" t="s">
        <v>118</v>
      </c>
      <c r="K562" s="12" t="s">
        <v>470</v>
      </c>
      <c r="L562" s="12" t="s">
        <v>418</v>
      </c>
    </row>
    <row r="563" customFormat="false" ht="15" hidden="false" customHeight="false" outlineLevel="0" collapsed="false">
      <c r="A563" s="12" t="s">
        <v>1215</v>
      </c>
      <c r="B563" s="12" t="s">
        <v>359</v>
      </c>
      <c r="C563" s="12" t="s">
        <v>360</v>
      </c>
      <c r="D563" s="12" t="s">
        <v>72</v>
      </c>
      <c r="E563" s="12" t="s">
        <v>472</v>
      </c>
      <c r="F563" s="12" t="s">
        <v>473</v>
      </c>
      <c r="G563" s="12" t="n">
        <v>1</v>
      </c>
      <c r="H563" s="12" t="n">
        <v>0</v>
      </c>
      <c r="I563" s="12" t="n">
        <v>1</v>
      </c>
      <c r="J563" s="12" t="s">
        <v>118</v>
      </c>
      <c r="K563" s="12" t="s">
        <v>474</v>
      </c>
      <c r="L563" s="12" t="s">
        <v>418</v>
      </c>
    </row>
    <row r="564" customFormat="false" ht="15" hidden="false" customHeight="false" outlineLevel="0" collapsed="false">
      <c r="A564" s="12" t="s">
        <v>1216</v>
      </c>
      <c r="B564" s="12" t="s">
        <v>359</v>
      </c>
      <c r="C564" s="12" t="s">
        <v>360</v>
      </c>
      <c r="D564" s="12" t="s">
        <v>72</v>
      </c>
      <c r="E564" s="12" t="s">
        <v>478</v>
      </c>
      <c r="F564" s="12" t="s">
        <v>479</v>
      </c>
      <c r="G564" s="12" t="n">
        <v>1</v>
      </c>
      <c r="H564" s="12" t="n">
        <v>0</v>
      </c>
      <c r="I564" s="12" t="n">
        <v>1</v>
      </c>
      <c r="J564" s="12" t="s">
        <v>480</v>
      </c>
      <c r="K564" s="12" t="s">
        <v>388</v>
      </c>
      <c r="L564" s="12" t="s">
        <v>389</v>
      </c>
    </row>
    <row r="565" customFormat="false" ht="15" hidden="false" customHeight="false" outlineLevel="0" collapsed="false">
      <c r="A565" s="12" t="s">
        <v>1217</v>
      </c>
      <c r="B565" s="12" t="s">
        <v>364</v>
      </c>
      <c r="C565" s="12" t="s">
        <v>360</v>
      </c>
      <c r="D565" s="12" t="s">
        <v>72</v>
      </c>
      <c r="E565" s="12" t="s">
        <v>384</v>
      </c>
      <c r="F565" s="12" t="s">
        <v>385</v>
      </c>
      <c r="G565" s="12" t="n">
        <v>7</v>
      </c>
      <c r="H565" s="12" t="n">
        <v>0</v>
      </c>
      <c r="I565" s="12" t="n">
        <v>2</v>
      </c>
      <c r="J565" s="12" t="s">
        <v>116</v>
      </c>
      <c r="K565" s="12" t="s">
        <v>388</v>
      </c>
      <c r="L565" s="12" t="s">
        <v>389</v>
      </c>
    </row>
    <row r="566" customFormat="false" ht="15" hidden="false" customHeight="false" outlineLevel="0" collapsed="false">
      <c r="A566" s="12" t="s">
        <v>1218</v>
      </c>
      <c r="B566" s="12" t="s">
        <v>364</v>
      </c>
      <c r="C566" s="12" t="s">
        <v>360</v>
      </c>
      <c r="D566" s="12" t="s">
        <v>72</v>
      </c>
      <c r="E566" s="12" t="s">
        <v>421</v>
      </c>
      <c r="F566" s="12" t="s">
        <v>422</v>
      </c>
      <c r="G566" s="12" t="n">
        <v>9</v>
      </c>
      <c r="H566" s="12" t="n">
        <v>1</v>
      </c>
      <c r="I566" s="12" t="n">
        <v>2</v>
      </c>
      <c r="J566" s="12" t="s">
        <v>116</v>
      </c>
      <c r="K566" s="12" t="s">
        <v>424</v>
      </c>
      <c r="L566" s="12" t="s">
        <v>418</v>
      </c>
    </row>
    <row r="567" customFormat="false" ht="15" hidden="false" customHeight="false" outlineLevel="0" collapsed="false">
      <c r="A567" s="12" t="s">
        <v>1219</v>
      </c>
      <c r="B567" s="12" t="s">
        <v>364</v>
      </c>
      <c r="C567" s="12" t="s">
        <v>360</v>
      </c>
      <c r="D567" s="12" t="s">
        <v>72</v>
      </c>
      <c r="E567" s="12" t="s">
        <v>427</v>
      </c>
      <c r="F567" s="12" t="s">
        <v>428</v>
      </c>
      <c r="G567" s="12" t="n">
        <v>9</v>
      </c>
      <c r="H567" s="12" t="n">
        <v>1</v>
      </c>
      <c r="I567" s="12" t="n">
        <v>2</v>
      </c>
      <c r="J567" s="12" t="s">
        <v>116</v>
      </c>
      <c r="K567" s="12" t="s">
        <v>429</v>
      </c>
      <c r="L567" s="12" t="s">
        <v>418</v>
      </c>
    </row>
    <row r="568" customFormat="false" ht="15" hidden="false" customHeight="false" outlineLevel="0" collapsed="false">
      <c r="A568" s="12" t="s">
        <v>1220</v>
      </c>
      <c r="B568" s="12" t="s">
        <v>364</v>
      </c>
      <c r="C568" s="12" t="s">
        <v>360</v>
      </c>
      <c r="D568" s="12" t="s">
        <v>72</v>
      </c>
      <c r="E568" s="12" t="s">
        <v>430</v>
      </c>
      <c r="F568" s="12" t="s">
        <v>431</v>
      </c>
      <c r="G568" s="12" t="n">
        <v>10</v>
      </c>
      <c r="H568" s="12" t="n">
        <v>1</v>
      </c>
      <c r="I568" s="12" t="n">
        <v>2</v>
      </c>
      <c r="J568" s="12" t="s">
        <v>116</v>
      </c>
      <c r="K568" s="12" t="s">
        <v>432</v>
      </c>
      <c r="L568" s="12" t="s">
        <v>418</v>
      </c>
    </row>
    <row r="569" customFormat="false" ht="15" hidden="false" customHeight="false" outlineLevel="0" collapsed="false">
      <c r="A569" s="12" t="s">
        <v>1221</v>
      </c>
      <c r="B569" s="12" t="s">
        <v>364</v>
      </c>
      <c r="C569" s="12" t="s">
        <v>360</v>
      </c>
      <c r="D569" s="12" t="s">
        <v>72</v>
      </c>
      <c r="E569" s="12" t="s">
        <v>434</v>
      </c>
      <c r="F569" s="12" t="s">
        <v>435</v>
      </c>
      <c r="G569" s="12" t="n">
        <v>7</v>
      </c>
      <c r="H569" s="12" t="n">
        <v>0</v>
      </c>
      <c r="I569" s="12" t="n">
        <v>2</v>
      </c>
      <c r="J569" s="12" t="s">
        <v>116</v>
      </c>
      <c r="K569" s="12" t="s">
        <v>388</v>
      </c>
      <c r="L569" s="12" t="s">
        <v>389</v>
      </c>
    </row>
    <row r="570" customFormat="false" ht="15" hidden="false" customHeight="false" outlineLevel="0" collapsed="false">
      <c r="A570" s="12" t="s">
        <v>1222</v>
      </c>
      <c r="B570" s="12" t="s">
        <v>364</v>
      </c>
      <c r="C570" s="12" t="s">
        <v>360</v>
      </c>
      <c r="D570" s="12" t="s">
        <v>72</v>
      </c>
      <c r="E570" s="12" t="s">
        <v>468</v>
      </c>
      <c r="F570" s="12" t="s">
        <v>469</v>
      </c>
      <c r="G570" s="12" t="n">
        <v>4</v>
      </c>
      <c r="H570" s="12" t="n">
        <v>0</v>
      </c>
      <c r="I570" s="12" t="n">
        <v>1</v>
      </c>
      <c r="J570" s="12" t="s">
        <v>118</v>
      </c>
      <c r="K570" s="12" t="s">
        <v>470</v>
      </c>
      <c r="L570" s="12" t="s">
        <v>418</v>
      </c>
    </row>
    <row r="571" customFormat="false" ht="15" hidden="false" customHeight="false" outlineLevel="0" collapsed="false">
      <c r="A571" s="12" t="s">
        <v>1223</v>
      </c>
      <c r="B571" s="12" t="s">
        <v>364</v>
      </c>
      <c r="C571" s="12" t="s">
        <v>360</v>
      </c>
      <c r="D571" s="12" t="s">
        <v>72</v>
      </c>
      <c r="E571" s="12" t="s">
        <v>472</v>
      </c>
      <c r="F571" s="12" t="s">
        <v>473</v>
      </c>
      <c r="G571" s="12" t="n">
        <v>1</v>
      </c>
      <c r="H571" s="12" t="n">
        <v>0</v>
      </c>
      <c r="I571" s="12" t="n">
        <v>1</v>
      </c>
      <c r="J571" s="12" t="s">
        <v>118</v>
      </c>
      <c r="K571" s="12" t="s">
        <v>474</v>
      </c>
      <c r="L571" s="12" t="s">
        <v>418</v>
      </c>
    </row>
    <row r="572" customFormat="false" ht="15" hidden="false" customHeight="false" outlineLevel="0" collapsed="false">
      <c r="A572" s="12" t="s">
        <v>1224</v>
      </c>
      <c r="B572" s="12" t="s">
        <v>364</v>
      </c>
      <c r="C572" s="12" t="s">
        <v>360</v>
      </c>
      <c r="D572" s="12" t="s">
        <v>72</v>
      </c>
      <c r="E572" s="12" t="s">
        <v>478</v>
      </c>
      <c r="F572" s="12" t="s">
        <v>479</v>
      </c>
      <c r="G572" s="12" t="n">
        <v>1</v>
      </c>
      <c r="H572" s="12" t="n">
        <v>0</v>
      </c>
      <c r="I572" s="12" t="n">
        <v>1</v>
      </c>
      <c r="J572" s="12" t="s">
        <v>480</v>
      </c>
      <c r="K572" s="12" t="s">
        <v>388</v>
      </c>
      <c r="L572" s="12" t="s">
        <v>389</v>
      </c>
    </row>
    <row r="573" customFormat="false" ht="15" hidden="false" customHeight="false" outlineLevel="0" collapsed="false">
      <c r="A573" s="12" t="s">
        <v>1225</v>
      </c>
      <c r="B573" s="12" t="s">
        <v>368</v>
      </c>
      <c r="C573" s="12" t="s">
        <v>360</v>
      </c>
      <c r="D573" s="12" t="s">
        <v>72</v>
      </c>
      <c r="E573" s="12" t="s">
        <v>384</v>
      </c>
      <c r="F573" s="12" t="s">
        <v>385</v>
      </c>
      <c r="G573" s="12" t="n">
        <v>7</v>
      </c>
      <c r="H573" s="12" t="n">
        <v>0</v>
      </c>
      <c r="I573" s="12" t="n">
        <v>2</v>
      </c>
      <c r="J573" s="12" t="s">
        <v>116</v>
      </c>
      <c r="K573" s="12" t="s">
        <v>388</v>
      </c>
      <c r="L573" s="12" t="s">
        <v>389</v>
      </c>
    </row>
    <row r="574" customFormat="false" ht="15" hidden="false" customHeight="false" outlineLevel="0" collapsed="false">
      <c r="A574" s="12" t="s">
        <v>1226</v>
      </c>
      <c r="B574" s="12" t="s">
        <v>368</v>
      </c>
      <c r="C574" s="12" t="s">
        <v>360</v>
      </c>
      <c r="D574" s="12" t="s">
        <v>72</v>
      </c>
      <c r="E574" s="12" t="s">
        <v>437</v>
      </c>
      <c r="F574" s="12" t="s">
        <v>438</v>
      </c>
      <c r="G574" s="12" t="n">
        <v>10</v>
      </c>
      <c r="H574" s="12" t="n">
        <v>0</v>
      </c>
      <c r="I574" s="12" t="n">
        <v>2</v>
      </c>
      <c r="J574" s="12" t="s">
        <v>116</v>
      </c>
      <c r="K574" s="12" t="s">
        <v>388</v>
      </c>
      <c r="L574" s="12" t="s">
        <v>389</v>
      </c>
    </row>
    <row r="575" customFormat="false" ht="15" hidden="false" customHeight="false" outlineLevel="0" collapsed="false">
      <c r="A575" s="12" t="s">
        <v>1227</v>
      </c>
      <c r="B575" s="12" t="s">
        <v>368</v>
      </c>
      <c r="C575" s="12" t="s">
        <v>360</v>
      </c>
      <c r="D575" s="12" t="s">
        <v>72</v>
      </c>
      <c r="E575" s="12" t="s">
        <v>440</v>
      </c>
      <c r="F575" s="12" t="s">
        <v>441</v>
      </c>
      <c r="G575" s="12" t="n">
        <v>9</v>
      </c>
      <c r="H575" s="12" t="n">
        <v>0</v>
      </c>
      <c r="I575" s="12" t="n">
        <v>2</v>
      </c>
      <c r="J575" s="12" t="s">
        <v>116</v>
      </c>
      <c r="K575" s="12" t="s">
        <v>388</v>
      </c>
      <c r="L575" s="12" t="s">
        <v>389</v>
      </c>
    </row>
    <row r="576" customFormat="false" ht="15" hidden="false" customHeight="false" outlineLevel="0" collapsed="false">
      <c r="A576" s="12" t="s">
        <v>1228</v>
      </c>
      <c r="B576" s="12" t="s">
        <v>368</v>
      </c>
      <c r="C576" s="12" t="s">
        <v>360</v>
      </c>
      <c r="D576" s="12" t="s">
        <v>72</v>
      </c>
      <c r="E576" s="12" t="s">
        <v>442</v>
      </c>
      <c r="F576" s="12" t="s">
        <v>443</v>
      </c>
      <c r="G576" s="12" t="n">
        <v>9</v>
      </c>
      <c r="H576" s="12" t="n">
        <v>0</v>
      </c>
      <c r="I576" s="12" t="n">
        <v>2</v>
      </c>
      <c r="J576" s="12" t="s">
        <v>116</v>
      </c>
      <c r="K576" s="12" t="s">
        <v>388</v>
      </c>
      <c r="L576" s="12" t="s">
        <v>389</v>
      </c>
    </row>
    <row r="577" customFormat="false" ht="15" hidden="false" customHeight="false" outlineLevel="0" collapsed="false">
      <c r="A577" s="12" t="s">
        <v>1229</v>
      </c>
      <c r="B577" s="12" t="s">
        <v>368</v>
      </c>
      <c r="C577" s="12" t="s">
        <v>360</v>
      </c>
      <c r="D577" s="12" t="s">
        <v>72</v>
      </c>
      <c r="E577" s="12" t="s">
        <v>400</v>
      </c>
      <c r="F577" s="12" t="s">
        <v>401</v>
      </c>
      <c r="G577" s="12" t="n">
        <v>7</v>
      </c>
      <c r="H577" s="12" t="n">
        <v>0</v>
      </c>
      <c r="I577" s="12" t="n">
        <v>2</v>
      </c>
      <c r="J577" s="12" t="s">
        <v>116</v>
      </c>
      <c r="K577" s="12" t="s">
        <v>388</v>
      </c>
      <c r="L577" s="12" t="s">
        <v>389</v>
      </c>
    </row>
    <row r="578" customFormat="false" ht="15" hidden="false" customHeight="false" outlineLevel="0" collapsed="false">
      <c r="A578" s="12" t="s">
        <v>1230</v>
      </c>
      <c r="B578" s="12" t="s">
        <v>368</v>
      </c>
      <c r="C578" s="12" t="s">
        <v>360</v>
      </c>
      <c r="D578" s="12" t="s">
        <v>72</v>
      </c>
      <c r="E578" s="12" t="s">
        <v>468</v>
      </c>
      <c r="F578" s="12" t="s">
        <v>469</v>
      </c>
      <c r="G578" s="12" t="n">
        <v>4</v>
      </c>
      <c r="H578" s="12" t="n">
        <v>0</v>
      </c>
      <c r="I578" s="12" t="n">
        <v>1</v>
      </c>
      <c r="J578" s="12" t="s">
        <v>118</v>
      </c>
      <c r="K578" s="12" t="s">
        <v>470</v>
      </c>
      <c r="L578" s="12" t="s">
        <v>418</v>
      </c>
    </row>
    <row r="579" customFormat="false" ht="15" hidden="false" customHeight="false" outlineLevel="0" collapsed="false">
      <c r="A579" s="12" t="s">
        <v>1231</v>
      </c>
      <c r="B579" s="12" t="s">
        <v>368</v>
      </c>
      <c r="C579" s="12" t="s">
        <v>360</v>
      </c>
      <c r="D579" s="12" t="s">
        <v>72</v>
      </c>
      <c r="E579" s="12" t="s">
        <v>472</v>
      </c>
      <c r="F579" s="12" t="s">
        <v>473</v>
      </c>
      <c r="G579" s="12" t="n">
        <v>1</v>
      </c>
      <c r="H579" s="12" t="n">
        <v>0</v>
      </c>
      <c r="I579" s="12" t="n">
        <v>1</v>
      </c>
      <c r="J579" s="12" t="s">
        <v>118</v>
      </c>
      <c r="K579" s="12" t="s">
        <v>474</v>
      </c>
      <c r="L579" s="12" t="s">
        <v>418</v>
      </c>
    </row>
    <row r="580" customFormat="false" ht="15" hidden="false" customHeight="false" outlineLevel="0" collapsed="false">
      <c r="A580" s="12" t="s">
        <v>1232</v>
      </c>
      <c r="B580" s="12" t="s">
        <v>368</v>
      </c>
      <c r="C580" s="12" t="s">
        <v>360</v>
      </c>
      <c r="D580" s="12" t="s">
        <v>72</v>
      </c>
      <c r="E580" s="12" t="s">
        <v>478</v>
      </c>
      <c r="F580" s="12" t="s">
        <v>479</v>
      </c>
      <c r="G580" s="12" t="n">
        <v>1</v>
      </c>
      <c r="H580" s="12" t="n">
        <v>0</v>
      </c>
      <c r="I580" s="12" t="n">
        <v>1</v>
      </c>
      <c r="J580" s="12" t="s">
        <v>480</v>
      </c>
      <c r="K580" s="12" t="s">
        <v>388</v>
      </c>
      <c r="L580" s="12" t="s">
        <v>389</v>
      </c>
    </row>
    <row r="581" customFormat="false" ht="15" hidden="false" customHeight="false" outlineLevel="0" collapsed="false">
      <c r="A581" s="12" t="s">
        <v>1233</v>
      </c>
      <c r="B581" s="12" t="s">
        <v>372</v>
      </c>
      <c r="C581" s="12" t="s">
        <v>360</v>
      </c>
      <c r="D581" s="12" t="s">
        <v>72</v>
      </c>
      <c r="E581" s="12" t="s">
        <v>384</v>
      </c>
      <c r="F581" s="12" t="s">
        <v>385</v>
      </c>
      <c r="G581" s="12" t="n">
        <v>7</v>
      </c>
      <c r="H581" s="12" t="n">
        <v>0</v>
      </c>
      <c r="I581" s="12" t="n">
        <v>2</v>
      </c>
      <c r="J581" s="12" t="s">
        <v>116</v>
      </c>
      <c r="K581" s="12" t="s">
        <v>388</v>
      </c>
      <c r="L581" s="12" t="s">
        <v>389</v>
      </c>
    </row>
    <row r="582" customFormat="false" ht="15" hidden="false" customHeight="false" outlineLevel="0" collapsed="false">
      <c r="A582" s="12" t="s">
        <v>1234</v>
      </c>
      <c r="B582" s="12" t="s">
        <v>372</v>
      </c>
      <c r="C582" s="12" t="s">
        <v>360</v>
      </c>
      <c r="D582" s="12" t="s">
        <v>72</v>
      </c>
      <c r="E582" s="12" t="s">
        <v>446</v>
      </c>
      <c r="F582" s="12" t="s">
        <v>447</v>
      </c>
      <c r="G582" s="12" t="n">
        <v>9</v>
      </c>
      <c r="H582" s="12" t="n">
        <v>0</v>
      </c>
      <c r="I582" s="12" t="n">
        <v>2</v>
      </c>
      <c r="J582" s="12" t="s">
        <v>116</v>
      </c>
      <c r="K582" s="12" t="s">
        <v>388</v>
      </c>
      <c r="L582" s="12" t="s">
        <v>389</v>
      </c>
    </row>
    <row r="583" customFormat="false" ht="15" hidden="false" customHeight="false" outlineLevel="0" collapsed="false">
      <c r="A583" s="12" t="s">
        <v>1235</v>
      </c>
      <c r="B583" s="12" t="s">
        <v>372</v>
      </c>
      <c r="C583" s="12" t="s">
        <v>360</v>
      </c>
      <c r="D583" s="12" t="s">
        <v>72</v>
      </c>
      <c r="E583" s="12" t="s">
        <v>449</v>
      </c>
      <c r="F583" s="12" t="s">
        <v>450</v>
      </c>
      <c r="G583" s="12" t="n">
        <v>9</v>
      </c>
      <c r="H583" s="12" t="n">
        <v>0</v>
      </c>
      <c r="I583" s="12" t="n">
        <v>2</v>
      </c>
      <c r="J583" s="12" t="s">
        <v>116</v>
      </c>
      <c r="K583" s="12" t="s">
        <v>388</v>
      </c>
      <c r="L583" s="12" t="s">
        <v>389</v>
      </c>
    </row>
    <row r="584" customFormat="false" ht="15" hidden="false" customHeight="false" outlineLevel="0" collapsed="false">
      <c r="A584" s="12" t="s">
        <v>1236</v>
      </c>
      <c r="B584" s="12" t="s">
        <v>372</v>
      </c>
      <c r="C584" s="12" t="s">
        <v>360</v>
      </c>
      <c r="D584" s="12" t="s">
        <v>72</v>
      </c>
      <c r="E584" s="12" t="s">
        <v>451</v>
      </c>
      <c r="F584" s="12" t="s">
        <v>452</v>
      </c>
      <c r="G584" s="12" t="n">
        <v>9</v>
      </c>
      <c r="H584" s="12" t="n">
        <v>0</v>
      </c>
      <c r="I584" s="12" t="n">
        <v>2</v>
      </c>
      <c r="J584" s="12" t="s">
        <v>116</v>
      </c>
      <c r="K584" s="12" t="s">
        <v>388</v>
      </c>
      <c r="L584" s="12" t="s">
        <v>389</v>
      </c>
    </row>
    <row r="585" customFormat="false" ht="15" hidden="false" customHeight="false" outlineLevel="0" collapsed="false">
      <c r="A585" s="12" t="s">
        <v>1237</v>
      </c>
      <c r="B585" s="12" t="s">
        <v>372</v>
      </c>
      <c r="C585" s="12" t="s">
        <v>360</v>
      </c>
      <c r="D585" s="12" t="s">
        <v>72</v>
      </c>
      <c r="E585" s="12" t="s">
        <v>442</v>
      </c>
      <c r="F585" s="12" t="s">
        <v>443</v>
      </c>
      <c r="G585" s="12" t="n">
        <v>8</v>
      </c>
      <c r="H585" s="12" t="n">
        <v>0</v>
      </c>
      <c r="I585" s="12" t="n">
        <v>2</v>
      </c>
      <c r="J585" s="12" t="s">
        <v>116</v>
      </c>
      <c r="K585" s="12" t="s">
        <v>388</v>
      </c>
      <c r="L585" s="12" t="s">
        <v>389</v>
      </c>
    </row>
    <row r="586" customFormat="false" ht="15" hidden="false" customHeight="false" outlineLevel="0" collapsed="false">
      <c r="A586" s="12" t="s">
        <v>1238</v>
      </c>
      <c r="B586" s="12" t="s">
        <v>372</v>
      </c>
      <c r="C586" s="12" t="s">
        <v>360</v>
      </c>
      <c r="D586" s="12" t="s">
        <v>72</v>
      </c>
      <c r="E586" s="12" t="s">
        <v>468</v>
      </c>
      <c r="F586" s="12" t="s">
        <v>469</v>
      </c>
      <c r="G586" s="12" t="n">
        <v>4</v>
      </c>
      <c r="H586" s="12" t="n">
        <v>0</v>
      </c>
      <c r="I586" s="12" t="n">
        <v>1</v>
      </c>
      <c r="J586" s="12" t="s">
        <v>118</v>
      </c>
      <c r="K586" s="12" t="s">
        <v>470</v>
      </c>
      <c r="L586" s="12" t="s">
        <v>418</v>
      </c>
    </row>
    <row r="587" customFormat="false" ht="15" hidden="false" customHeight="false" outlineLevel="0" collapsed="false">
      <c r="A587" s="12" t="s">
        <v>1239</v>
      </c>
      <c r="B587" s="12" t="s">
        <v>372</v>
      </c>
      <c r="C587" s="12" t="s">
        <v>360</v>
      </c>
      <c r="D587" s="12" t="s">
        <v>72</v>
      </c>
      <c r="E587" s="12" t="s">
        <v>472</v>
      </c>
      <c r="F587" s="12" t="s">
        <v>473</v>
      </c>
      <c r="G587" s="12" t="n">
        <v>1</v>
      </c>
      <c r="H587" s="12" t="n">
        <v>0</v>
      </c>
      <c r="I587" s="12" t="n">
        <v>1</v>
      </c>
      <c r="J587" s="12" t="s">
        <v>118</v>
      </c>
      <c r="K587" s="12" t="s">
        <v>474</v>
      </c>
      <c r="L587" s="12" t="s">
        <v>418</v>
      </c>
    </row>
    <row r="588" customFormat="false" ht="15" hidden="false" customHeight="false" outlineLevel="0" collapsed="false">
      <c r="A588" s="12" t="s">
        <v>1240</v>
      </c>
      <c r="B588" s="12" t="s">
        <v>372</v>
      </c>
      <c r="C588" s="12" t="s">
        <v>360</v>
      </c>
      <c r="D588" s="12" t="s">
        <v>72</v>
      </c>
      <c r="E588" s="12" t="s">
        <v>478</v>
      </c>
      <c r="F588" s="12" t="s">
        <v>479</v>
      </c>
      <c r="G588" s="12" t="n">
        <v>1</v>
      </c>
      <c r="H588" s="12" t="n">
        <v>0</v>
      </c>
      <c r="I588" s="12" t="n">
        <v>1</v>
      </c>
      <c r="J588" s="12" t="s">
        <v>480</v>
      </c>
      <c r="K588" s="12" t="s">
        <v>388</v>
      </c>
      <c r="L588" s="12" t="s">
        <v>389</v>
      </c>
    </row>
  </sheetData>
  <autoFilter ref="A1:L5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8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7"/>
  </cols>
  <sheetData>
    <row r="1" customFormat="false" ht="31.5" hidden="false" customHeight="true" outlineLevel="0" collapsed="false">
      <c r="A1" s="6" t="s">
        <v>1241</v>
      </c>
      <c r="B1" s="6" t="s">
        <v>1242</v>
      </c>
      <c r="C1" s="6" t="s">
        <v>1243</v>
      </c>
      <c r="D1" s="6" t="s">
        <v>1244</v>
      </c>
      <c r="E1" s="6" t="s">
        <v>380</v>
      </c>
      <c r="F1" s="6" t="s">
        <v>1245</v>
      </c>
      <c r="G1" s="6" t="s">
        <v>1246</v>
      </c>
      <c r="H1" s="6" t="s">
        <v>1247</v>
      </c>
    </row>
    <row r="2" customFormat="false" ht="15" hidden="false" customHeight="false" outlineLevel="0" collapsed="false">
      <c r="A2" s="12" t="s">
        <v>135</v>
      </c>
      <c r="B2" s="12" t="s">
        <v>1248</v>
      </c>
      <c r="C2" s="12" t="s">
        <v>133</v>
      </c>
      <c r="D2" s="12" t="n">
        <v>1</v>
      </c>
      <c r="E2" s="12" t="s">
        <v>388</v>
      </c>
      <c r="F2" s="12" t="n">
        <v>28</v>
      </c>
      <c r="G2" s="12" t="n">
        <v>1</v>
      </c>
      <c r="H2" s="12" t="s">
        <v>131</v>
      </c>
    </row>
    <row r="3" customFormat="false" ht="15" hidden="false" customHeight="false" outlineLevel="0" collapsed="false">
      <c r="A3" s="12" t="s">
        <v>140</v>
      </c>
      <c r="B3" s="12" t="s">
        <v>1249</v>
      </c>
      <c r="C3" s="12" t="s">
        <v>133</v>
      </c>
      <c r="D3" s="12" t="n">
        <v>1</v>
      </c>
      <c r="E3" s="12" t="s">
        <v>388</v>
      </c>
      <c r="F3" s="12" t="n">
        <v>28</v>
      </c>
      <c r="G3" s="12" t="n">
        <v>1</v>
      </c>
      <c r="H3" s="12" t="s">
        <v>138</v>
      </c>
    </row>
    <row r="4" customFormat="false" ht="15" hidden="false" customHeight="false" outlineLevel="0" collapsed="false">
      <c r="A4" s="12" t="s">
        <v>145</v>
      </c>
      <c r="B4" s="12" t="s">
        <v>1250</v>
      </c>
      <c r="C4" s="12" t="s">
        <v>133</v>
      </c>
      <c r="D4" s="12" t="n">
        <v>1</v>
      </c>
      <c r="E4" s="12" t="s">
        <v>388</v>
      </c>
      <c r="F4" s="12" t="n">
        <v>28</v>
      </c>
      <c r="G4" s="12" t="n">
        <v>1</v>
      </c>
      <c r="H4" s="12" t="s">
        <v>143</v>
      </c>
    </row>
    <row r="5" customFormat="false" ht="15" hidden="false" customHeight="false" outlineLevel="0" collapsed="false">
      <c r="A5" s="12" t="s">
        <v>149</v>
      </c>
      <c r="B5" s="12" t="s">
        <v>1251</v>
      </c>
      <c r="C5" s="12" t="s">
        <v>133</v>
      </c>
      <c r="D5" s="12" t="n">
        <v>1</v>
      </c>
      <c r="E5" s="12" t="s">
        <v>388</v>
      </c>
      <c r="F5" s="12" t="n">
        <v>28</v>
      </c>
      <c r="G5" s="12" t="n">
        <v>1</v>
      </c>
      <c r="H5" s="12" t="s">
        <v>148</v>
      </c>
    </row>
    <row r="6" customFormat="false" ht="15" hidden="false" customHeight="false" outlineLevel="0" collapsed="false">
      <c r="A6" s="12" t="s">
        <v>154</v>
      </c>
      <c r="B6" s="12" t="s">
        <v>1252</v>
      </c>
      <c r="C6" s="12" t="s">
        <v>133</v>
      </c>
      <c r="D6" s="12" t="n">
        <v>1</v>
      </c>
      <c r="E6" s="12" t="s">
        <v>388</v>
      </c>
      <c r="F6" s="12" t="n">
        <v>28</v>
      </c>
      <c r="G6" s="12" t="n">
        <v>1</v>
      </c>
      <c r="H6" s="12" t="s">
        <v>152</v>
      </c>
    </row>
    <row r="7" customFormat="false" ht="15" hidden="false" customHeight="false" outlineLevel="0" collapsed="false">
      <c r="A7" s="12" t="s">
        <v>159</v>
      </c>
      <c r="B7" s="12" t="s">
        <v>1253</v>
      </c>
      <c r="C7" s="12" t="s">
        <v>133</v>
      </c>
      <c r="D7" s="12" t="n">
        <v>1</v>
      </c>
      <c r="E7" s="12" t="s">
        <v>388</v>
      </c>
      <c r="F7" s="12" t="n">
        <v>28</v>
      </c>
      <c r="G7" s="12" t="n">
        <v>1</v>
      </c>
      <c r="H7" s="12" t="s">
        <v>157</v>
      </c>
    </row>
    <row r="8" customFormat="false" ht="15" hidden="false" customHeight="false" outlineLevel="0" collapsed="false">
      <c r="A8" s="12" t="s">
        <v>163</v>
      </c>
      <c r="B8" s="12" t="s">
        <v>1254</v>
      </c>
      <c r="C8" s="12" t="s">
        <v>133</v>
      </c>
      <c r="D8" s="12" t="n">
        <v>1</v>
      </c>
      <c r="E8" s="12" t="s">
        <v>388</v>
      </c>
      <c r="F8" s="12" t="n">
        <v>28</v>
      </c>
      <c r="G8" s="12" t="n">
        <v>1</v>
      </c>
      <c r="H8" s="12" t="s">
        <v>162</v>
      </c>
    </row>
    <row r="9" customFormat="false" ht="15" hidden="false" customHeight="false" outlineLevel="0" collapsed="false">
      <c r="A9" s="12" t="s">
        <v>168</v>
      </c>
      <c r="B9" s="12" t="s">
        <v>1255</v>
      </c>
      <c r="C9" s="12" t="s">
        <v>133</v>
      </c>
      <c r="D9" s="12" t="n">
        <v>1</v>
      </c>
      <c r="E9" s="12" t="s">
        <v>388</v>
      </c>
      <c r="F9" s="12" t="n">
        <v>40</v>
      </c>
      <c r="G9" s="12" t="n">
        <v>1</v>
      </c>
      <c r="H9" s="12" t="s">
        <v>166</v>
      </c>
    </row>
    <row r="10" customFormat="false" ht="15" hidden="false" customHeight="false" outlineLevel="0" collapsed="false">
      <c r="A10" s="12" t="s">
        <v>172</v>
      </c>
      <c r="B10" s="12" t="s">
        <v>1256</v>
      </c>
      <c r="C10" s="12" t="s">
        <v>133</v>
      </c>
      <c r="D10" s="12" t="n">
        <v>2</v>
      </c>
      <c r="E10" s="12" t="s">
        <v>388</v>
      </c>
      <c r="F10" s="12" t="n">
        <v>40</v>
      </c>
      <c r="G10" s="12" t="n">
        <v>1</v>
      </c>
      <c r="H10" s="12" t="s">
        <v>171</v>
      </c>
    </row>
    <row r="11" customFormat="false" ht="15" hidden="false" customHeight="false" outlineLevel="0" collapsed="false">
      <c r="A11" s="12" t="s">
        <v>176</v>
      </c>
      <c r="B11" s="12" t="s">
        <v>1257</v>
      </c>
      <c r="C11" s="12" t="s">
        <v>133</v>
      </c>
      <c r="D11" s="12" t="n">
        <v>2</v>
      </c>
      <c r="E11" s="12" t="s">
        <v>388</v>
      </c>
      <c r="F11" s="12" t="n">
        <v>40</v>
      </c>
      <c r="G11" s="12" t="n">
        <v>1</v>
      </c>
      <c r="H11" s="12" t="s">
        <v>175</v>
      </c>
    </row>
    <row r="12" customFormat="false" ht="15" hidden="false" customHeight="false" outlineLevel="0" collapsed="false">
      <c r="A12" s="12" t="s">
        <v>181</v>
      </c>
      <c r="B12" s="12" t="s">
        <v>1258</v>
      </c>
      <c r="C12" s="12" t="s">
        <v>133</v>
      </c>
      <c r="D12" s="12" t="n">
        <v>2</v>
      </c>
      <c r="E12" s="12" t="s">
        <v>388</v>
      </c>
      <c r="F12" s="12" t="n">
        <v>40</v>
      </c>
      <c r="G12" s="12" t="n">
        <v>1</v>
      </c>
      <c r="H12" s="12" t="s">
        <v>179</v>
      </c>
    </row>
    <row r="13" customFormat="false" ht="15" hidden="false" customHeight="false" outlineLevel="0" collapsed="false">
      <c r="A13" s="12" t="s">
        <v>186</v>
      </c>
      <c r="B13" s="12" t="s">
        <v>1259</v>
      </c>
      <c r="C13" s="12" t="s">
        <v>133</v>
      </c>
      <c r="D13" s="12" t="n">
        <v>2</v>
      </c>
      <c r="E13" s="12" t="s">
        <v>388</v>
      </c>
      <c r="F13" s="12" t="n">
        <v>40</v>
      </c>
      <c r="G13" s="12" t="n">
        <v>1</v>
      </c>
      <c r="H13" s="12" t="s">
        <v>184</v>
      </c>
    </row>
    <row r="14" customFormat="false" ht="15" hidden="false" customHeight="false" outlineLevel="0" collapsed="false">
      <c r="A14" s="12" t="s">
        <v>190</v>
      </c>
      <c r="B14" s="12" t="s">
        <v>1260</v>
      </c>
      <c r="C14" s="12" t="s">
        <v>133</v>
      </c>
      <c r="D14" s="12" t="n">
        <v>2</v>
      </c>
      <c r="E14" s="12" t="s">
        <v>388</v>
      </c>
      <c r="F14" s="12" t="n">
        <v>40</v>
      </c>
      <c r="G14" s="12" t="n">
        <v>1</v>
      </c>
      <c r="H14" s="12" t="s">
        <v>189</v>
      </c>
    </row>
    <row r="15" customFormat="false" ht="15" hidden="false" customHeight="false" outlineLevel="0" collapsed="false">
      <c r="A15" s="12" t="s">
        <v>194</v>
      </c>
      <c r="B15" s="12" t="s">
        <v>1261</v>
      </c>
      <c r="C15" s="12" t="s">
        <v>133</v>
      </c>
      <c r="D15" s="12" t="n">
        <v>2</v>
      </c>
      <c r="E15" s="12" t="s">
        <v>388</v>
      </c>
      <c r="F15" s="12" t="n">
        <v>40</v>
      </c>
      <c r="G15" s="12" t="n">
        <v>1</v>
      </c>
      <c r="H15" s="12" t="s">
        <v>193</v>
      </c>
    </row>
    <row r="16" customFormat="false" ht="15" hidden="false" customHeight="false" outlineLevel="0" collapsed="false">
      <c r="A16" s="12" t="s">
        <v>199</v>
      </c>
      <c r="B16" s="12" t="s">
        <v>1262</v>
      </c>
      <c r="C16" s="12" t="s">
        <v>139</v>
      </c>
      <c r="D16" s="12" t="n">
        <v>1</v>
      </c>
      <c r="E16" s="12" t="s">
        <v>388</v>
      </c>
      <c r="F16" s="12" t="n">
        <v>40</v>
      </c>
      <c r="G16" s="12" t="n">
        <v>1</v>
      </c>
      <c r="H16" s="12" t="s">
        <v>197</v>
      </c>
    </row>
    <row r="17" customFormat="false" ht="15" hidden="false" customHeight="false" outlineLevel="0" collapsed="false">
      <c r="A17" s="12" t="s">
        <v>203</v>
      </c>
      <c r="B17" s="12" t="s">
        <v>1263</v>
      </c>
      <c r="C17" s="12" t="s">
        <v>139</v>
      </c>
      <c r="D17" s="12" t="n">
        <v>1</v>
      </c>
      <c r="E17" s="12" t="s">
        <v>388</v>
      </c>
      <c r="F17" s="12" t="n">
        <v>40</v>
      </c>
      <c r="G17" s="12" t="n">
        <v>1</v>
      </c>
      <c r="H17" s="12" t="s">
        <v>202</v>
      </c>
    </row>
    <row r="18" customFormat="false" ht="15" hidden="false" customHeight="false" outlineLevel="0" collapsed="false">
      <c r="A18" s="12" t="s">
        <v>207</v>
      </c>
      <c r="B18" s="12" t="s">
        <v>1264</v>
      </c>
      <c r="C18" s="12" t="s">
        <v>139</v>
      </c>
      <c r="D18" s="12" t="n">
        <v>1</v>
      </c>
      <c r="E18" s="12" t="s">
        <v>388</v>
      </c>
      <c r="F18" s="12" t="n">
        <v>40</v>
      </c>
      <c r="G18" s="12" t="n">
        <v>1</v>
      </c>
      <c r="H18" s="12" t="s">
        <v>206</v>
      </c>
    </row>
    <row r="19" customFormat="false" ht="15" hidden="false" customHeight="false" outlineLevel="0" collapsed="false">
      <c r="A19" s="12" t="s">
        <v>211</v>
      </c>
      <c r="B19" s="12" t="s">
        <v>1265</v>
      </c>
      <c r="C19" s="12" t="s">
        <v>139</v>
      </c>
      <c r="D19" s="12" t="n">
        <v>1</v>
      </c>
      <c r="E19" s="12" t="s">
        <v>388</v>
      </c>
      <c r="F19" s="12" t="n">
        <v>40</v>
      </c>
      <c r="G19" s="12" t="n">
        <v>1</v>
      </c>
      <c r="H19" s="12" t="s">
        <v>210</v>
      </c>
    </row>
    <row r="20" customFormat="false" ht="15" hidden="false" customHeight="false" outlineLevel="0" collapsed="false">
      <c r="A20" s="12" t="s">
        <v>216</v>
      </c>
      <c r="B20" s="12" t="s">
        <v>1266</v>
      </c>
      <c r="C20" s="12" t="s">
        <v>139</v>
      </c>
      <c r="D20" s="12" t="n">
        <v>1</v>
      </c>
      <c r="E20" s="12" t="s">
        <v>388</v>
      </c>
      <c r="F20" s="12" t="n">
        <v>40</v>
      </c>
      <c r="G20" s="12" t="n">
        <v>1</v>
      </c>
      <c r="H20" s="12" t="s">
        <v>214</v>
      </c>
    </row>
    <row r="21" customFormat="false" ht="15" hidden="false" customHeight="false" outlineLevel="0" collapsed="false">
      <c r="A21" s="12" t="s">
        <v>220</v>
      </c>
      <c r="B21" s="12" t="s">
        <v>1267</v>
      </c>
      <c r="C21" s="12" t="s">
        <v>139</v>
      </c>
      <c r="D21" s="12" t="n">
        <v>1</v>
      </c>
      <c r="E21" s="12" t="s">
        <v>388</v>
      </c>
      <c r="F21" s="12" t="n">
        <v>40</v>
      </c>
      <c r="G21" s="12" t="n">
        <v>1</v>
      </c>
      <c r="H21" s="12" t="s">
        <v>219</v>
      </c>
    </row>
    <row r="22" customFormat="false" ht="15" hidden="false" customHeight="false" outlineLevel="0" collapsed="false">
      <c r="A22" s="12" t="s">
        <v>224</v>
      </c>
      <c r="B22" s="12" t="s">
        <v>1268</v>
      </c>
      <c r="C22" s="12" t="s">
        <v>139</v>
      </c>
      <c r="D22" s="12" t="n">
        <v>1</v>
      </c>
      <c r="E22" s="12" t="s">
        <v>388</v>
      </c>
      <c r="F22" s="12" t="n">
        <v>40</v>
      </c>
      <c r="G22" s="12" t="n">
        <v>1</v>
      </c>
      <c r="H22" s="12" t="s">
        <v>223</v>
      </c>
    </row>
    <row r="23" customFormat="false" ht="15" hidden="false" customHeight="false" outlineLevel="0" collapsed="false">
      <c r="A23" s="12" t="s">
        <v>229</v>
      </c>
      <c r="B23" s="12" t="s">
        <v>1269</v>
      </c>
      <c r="C23" s="12" t="s">
        <v>139</v>
      </c>
      <c r="D23" s="12" t="n">
        <v>1</v>
      </c>
      <c r="E23" s="12" t="s">
        <v>388</v>
      </c>
      <c r="F23" s="12" t="n">
        <v>40</v>
      </c>
      <c r="G23" s="12" t="n">
        <v>1</v>
      </c>
      <c r="H23" s="12" t="s">
        <v>227</v>
      </c>
    </row>
    <row r="24" customFormat="false" ht="15" hidden="false" customHeight="false" outlineLevel="0" collapsed="false">
      <c r="A24" s="12" t="s">
        <v>233</v>
      </c>
      <c r="B24" s="12" t="s">
        <v>1270</v>
      </c>
      <c r="C24" s="12" t="s">
        <v>139</v>
      </c>
      <c r="D24" s="12" t="n">
        <v>2</v>
      </c>
      <c r="E24" s="12" t="s">
        <v>388</v>
      </c>
      <c r="F24" s="12" t="n">
        <v>40</v>
      </c>
      <c r="G24" s="12" t="n">
        <v>1</v>
      </c>
      <c r="H24" s="12" t="s">
        <v>232</v>
      </c>
    </row>
    <row r="25" customFormat="false" ht="15" hidden="false" customHeight="false" outlineLevel="0" collapsed="false">
      <c r="A25" s="12" t="s">
        <v>237</v>
      </c>
      <c r="B25" s="12" t="s">
        <v>1271</v>
      </c>
      <c r="C25" s="12" t="s">
        <v>139</v>
      </c>
      <c r="D25" s="12" t="n">
        <v>2</v>
      </c>
      <c r="E25" s="12" t="s">
        <v>388</v>
      </c>
      <c r="F25" s="12" t="n">
        <v>40</v>
      </c>
      <c r="G25" s="12" t="n">
        <v>1</v>
      </c>
      <c r="H25" s="12" t="s">
        <v>236</v>
      </c>
    </row>
    <row r="26" customFormat="false" ht="15" hidden="false" customHeight="false" outlineLevel="0" collapsed="false">
      <c r="A26" s="12" t="s">
        <v>241</v>
      </c>
      <c r="B26" s="12" t="s">
        <v>1272</v>
      </c>
      <c r="C26" s="12" t="s">
        <v>139</v>
      </c>
      <c r="D26" s="12" t="n">
        <v>2</v>
      </c>
      <c r="E26" s="12" t="s">
        <v>388</v>
      </c>
      <c r="F26" s="12" t="n">
        <v>40</v>
      </c>
      <c r="G26" s="12" t="n">
        <v>1</v>
      </c>
      <c r="H26" s="12" t="s">
        <v>240</v>
      </c>
    </row>
    <row r="27" customFormat="false" ht="15" hidden="false" customHeight="false" outlineLevel="0" collapsed="false">
      <c r="A27" s="12" t="s">
        <v>246</v>
      </c>
      <c r="B27" s="12" t="s">
        <v>1273</v>
      </c>
      <c r="C27" s="12" t="s">
        <v>139</v>
      </c>
      <c r="D27" s="12" t="n">
        <v>2</v>
      </c>
      <c r="E27" s="12" t="s">
        <v>388</v>
      </c>
      <c r="F27" s="12" t="n">
        <v>40</v>
      </c>
      <c r="G27" s="12" t="n">
        <v>1</v>
      </c>
      <c r="H27" s="12" t="s">
        <v>244</v>
      </c>
    </row>
    <row r="28" customFormat="false" ht="15" hidden="false" customHeight="false" outlineLevel="0" collapsed="false">
      <c r="A28" s="12" t="s">
        <v>251</v>
      </c>
      <c r="B28" s="12" t="s">
        <v>1274</v>
      </c>
      <c r="C28" s="12" t="s">
        <v>139</v>
      </c>
      <c r="D28" s="12" t="n">
        <v>2</v>
      </c>
      <c r="E28" s="12" t="s">
        <v>388</v>
      </c>
      <c r="F28" s="12" t="n">
        <v>45</v>
      </c>
      <c r="G28" s="12" t="n">
        <v>1</v>
      </c>
      <c r="H28" s="12" t="s">
        <v>249</v>
      </c>
    </row>
    <row r="29" customFormat="false" ht="15" hidden="false" customHeight="false" outlineLevel="0" collapsed="false">
      <c r="A29" s="12" t="s">
        <v>255</v>
      </c>
      <c r="B29" s="12" t="s">
        <v>1275</v>
      </c>
      <c r="C29" s="12" t="s">
        <v>139</v>
      </c>
      <c r="D29" s="12" t="n">
        <v>2</v>
      </c>
      <c r="E29" s="12" t="s">
        <v>388</v>
      </c>
      <c r="F29" s="12" t="n">
        <v>45</v>
      </c>
      <c r="G29" s="12" t="n">
        <v>1</v>
      </c>
      <c r="H29" s="12" t="s">
        <v>254</v>
      </c>
    </row>
    <row r="30" customFormat="false" ht="15" hidden="false" customHeight="false" outlineLevel="0" collapsed="false">
      <c r="A30" s="12" t="s">
        <v>259</v>
      </c>
      <c r="B30" s="12" t="s">
        <v>1276</v>
      </c>
      <c r="C30" s="12" t="s">
        <v>139</v>
      </c>
      <c r="D30" s="12" t="n">
        <v>2</v>
      </c>
      <c r="E30" s="12" t="s">
        <v>388</v>
      </c>
      <c r="F30" s="12" t="n">
        <v>45</v>
      </c>
      <c r="G30" s="12" t="n">
        <v>1</v>
      </c>
      <c r="H30" s="12" t="s">
        <v>258</v>
      </c>
    </row>
    <row r="31" customFormat="false" ht="15" hidden="false" customHeight="false" outlineLevel="0" collapsed="false">
      <c r="A31" s="12" t="s">
        <v>263</v>
      </c>
      <c r="B31" s="12" t="s">
        <v>1277</v>
      </c>
      <c r="C31" s="12" t="s">
        <v>139</v>
      </c>
      <c r="D31" s="12" t="n">
        <v>2</v>
      </c>
      <c r="E31" s="12" t="s">
        <v>388</v>
      </c>
      <c r="F31" s="12" t="n">
        <v>45</v>
      </c>
      <c r="G31" s="12" t="n">
        <v>1</v>
      </c>
      <c r="H31" s="12" t="s">
        <v>262</v>
      </c>
    </row>
    <row r="32" customFormat="false" ht="15" hidden="false" customHeight="false" outlineLevel="0" collapsed="false">
      <c r="A32" s="12" t="s">
        <v>268</v>
      </c>
      <c r="B32" s="12" t="s">
        <v>1278</v>
      </c>
      <c r="C32" s="12" t="s">
        <v>139</v>
      </c>
      <c r="D32" s="12" t="n">
        <v>3</v>
      </c>
      <c r="E32" s="12" t="s">
        <v>388</v>
      </c>
      <c r="F32" s="12" t="n">
        <v>45</v>
      </c>
      <c r="G32" s="12" t="n">
        <v>1</v>
      </c>
      <c r="H32" s="12" t="s">
        <v>266</v>
      </c>
    </row>
    <row r="33" customFormat="false" ht="15" hidden="false" customHeight="false" outlineLevel="0" collapsed="false">
      <c r="A33" s="12" t="s">
        <v>272</v>
      </c>
      <c r="B33" s="12" t="s">
        <v>1279</v>
      </c>
      <c r="C33" s="12" t="s">
        <v>139</v>
      </c>
      <c r="D33" s="12" t="n">
        <v>3</v>
      </c>
      <c r="E33" s="12" t="s">
        <v>388</v>
      </c>
      <c r="F33" s="12" t="n">
        <v>45</v>
      </c>
      <c r="G33" s="12" t="n">
        <v>1</v>
      </c>
      <c r="H33" s="12" t="s">
        <v>271</v>
      </c>
    </row>
    <row r="34" customFormat="false" ht="15" hidden="false" customHeight="false" outlineLevel="0" collapsed="false">
      <c r="A34" s="12" t="s">
        <v>275</v>
      </c>
      <c r="B34" s="12" t="s">
        <v>1280</v>
      </c>
      <c r="C34" s="12" t="s">
        <v>139</v>
      </c>
      <c r="D34" s="12" t="n">
        <v>3</v>
      </c>
      <c r="E34" s="12" t="s">
        <v>388</v>
      </c>
      <c r="F34" s="12" t="n">
        <v>45</v>
      </c>
      <c r="G34" s="12" t="n">
        <v>1</v>
      </c>
      <c r="H34" s="12" t="s">
        <v>274</v>
      </c>
    </row>
    <row r="35" customFormat="false" ht="15" hidden="false" customHeight="false" outlineLevel="0" collapsed="false">
      <c r="A35" s="12" t="s">
        <v>279</v>
      </c>
      <c r="B35" s="12" t="s">
        <v>1281</v>
      </c>
      <c r="C35" s="12" t="s">
        <v>139</v>
      </c>
      <c r="D35" s="12" t="n">
        <v>3</v>
      </c>
      <c r="E35" s="12" t="s">
        <v>388</v>
      </c>
      <c r="F35" s="12" t="n">
        <v>45</v>
      </c>
      <c r="G35" s="12" t="n">
        <v>1</v>
      </c>
      <c r="H35" s="12" t="s">
        <v>278</v>
      </c>
    </row>
    <row r="36" customFormat="false" ht="15" hidden="false" customHeight="false" outlineLevel="0" collapsed="false">
      <c r="A36" s="12" t="s">
        <v>284</v>
      </c>
      <c r="B36" s="12" t="s">
        <v>1282</v>
      </c>
      <c r="C36" s="12" t="s">
        <v>139</v>
      </c>
      <c r="D36" s="12" t="n">
        <v>3</v>
      </c>
      <c r="E36" s="12" t="s">
        <v>388</v>
      </c>
      <c r="F36" s="12" t="n">
        <v>45</v>
      </c>
      <c r="G36" s="12" t="n">
        <v>1</v>
      </c>
      <c r="H36" s="12" t="s">
        <v>282</v>
      </c>
    </row>
    <row r="37" customFormat="false" ht="15" hidden="false" customHeight="false" outlineLevel="0" collapsed="false">
      <c r="A37" s="12" t="s">
        <v>288</v>
      </c>
      <c r="B37" s="12" t="s">
        <v>1283</v>
      </c>
      <c r="C37" s="12" t="s">
        <v>139</v>
      </c>
      <c r="D37" s="12" t="n">
        <v>3</v>
      </c>
      <c r="E37" s="12" t="s">
        <v>388</v>
      </c>
      <c r="F37" s="12" t="n">
        <v>45</v>
      </c>
      <c r="G37" s="12" t="n">
        <v>1</v>
      </c>
      <c r="H37" s="12" t="s">
        <v>287</v>
      </c>
    </row>
    <row r="38" customFormat="false" ht="15" hidden="false" customHeight="false" outlineLevel="0" collapsed="false">
      <c r="A38" s="12" t="s">
        <v>292</v>
      </c>
      <c r="B38" s="12" t="s">
        <v>1284</v>
      </c>
      <c r="C38" s="12" t="s">
        <v>139</v>
      </c>
      <c r="D38" s="12" t="n">
        <v>3</v>
      </c>
      <c r="E38" s="12" t="s">
        <v>388</v>
      </c>
      <c r="F38" s="12" t="n">
        <v>45</v>
      </c>
      <c r="G38" s="12" t="n">
        <v>1</v>
      </c>
      <c r="H38" s="12" t="s">
        <v>291</v>
      </c>
    </row>
    <row r="39" customFormat="false" ht="15" hidden="false" customHeight="false" outlineLevel="0" collapsed="false">
      <c r="A39" s="12" t="s">
        <v>297</v>
      </c>
      <c r="B39" s="12" t="s">
        <v>1285</v>
      </c>
      <c r="C39" s="12" t="s">
        <v>153</v>
      </c>
      <c r="D39" s="12" t="n">
        <v>1</v>
      </c>
      <c r="E39" s="12" t="s">
        <v>388</v>
      </c>
      <c r="F39" s="12" t="n">
        <v>45</v>
      </c>
      <c r="G39" s="12" t="n">
        <v>1</v>
      </c>
      <c r="H39" s="12" t="s">
        <v>295</v>
      </c>
    </row>
    <row r="40" customFormat="false" ht="15" hidden="false" customHeight="false" outlineLevel="0" collapsed="false">
      <c r="A40" s="12" t="s">
        <v>301</v>
      </c>
      <c r="B40" s="12" t="s">
        <v>1286</v>
      </c>
      <c r="C40" s="12" t="s">
        <v>153</v>
      </c>
      <c r="D40" s="12" t="n">
        <v>1</v>
      </c>
      <c r="E40" s="12" t="s">
        <v>388</v>
      </c>
      <c r="F40" s="12" t="n">
        <v>45</v>
      </c>
      <c r="G40" s="12" t="n">
        <v>1</v>
      </c>
      <c r="H40" s="12" t="s">
        <v>300</v>
      </c>
    </row>
    <row r="41" customFormat="false" ht="15" hidden="false" customHeight="false" outlineLevel="0" collapsed="false">
      <c r="A41" s="12" t="s">
        <v>305</v>
      </c>
      <c r="B41" s="12" t="s">
        <v>1287</v>
      </c>
      <c r="C41" s="12" t="s">
        <v>153</v>
      </c>
      <c r="D41" s="12" t="n">
        <v>1</v>
      </c>
      <c r="E41" s="12" t="s">
        <v>388</v>
      </c>
      <c r="F41" s="12" t="n">
        <v>45</v>
      </c>
      <c r="G41" s="12" t="n">
        <v>1</v>
      </c>
      <c r="H41" s="12" t="s">
        <v>304</v>
      </c>
    </row>
    <row r="42" customFormat="false" ht="15" hidden="false" customHeight="false" outlineLevel="0" collapsed="false">
      <c r="A42" s="12" t="s">
        <v>309</v>
      </c>
      <c r="B42" s="12" t="s">
        <v>1288</v>
      </c>
      <c r="C42" s="12" t="s">
        <v>153</v>
      </c>
      <c r="D42" s="12" t="n">
        <v>1</v>
      </c>
      <c r="E42" s="12" t="s">
        <v>388</v>
      </c>
      <c r="F42" s="12" t="n">
        <v>45</v>
      </c>
      <c r="G42" s="12" t="n">
        <v>1</v>
      </c>
      <c r="H42" s="12" t="s">
        <v>308</v>
      </c>
    </row>
    <row r="43" customFormat="false" ht="15" hidden="false" customHeight="false" outlineLevel="0" collapsed="false">
      <c r="A43" s="12" t="s">
        <v>314</v>
      </c>
      <c r="B43" s="12" t="s">
        <v>1289</v>
      </c>
      <c r="C43" s="12" t="s">
        <v>153</v>
      </c>
      <c r="D43" s="12" t="n">
        <v>1</v>
      </c>
      <c r="E43" s="12" t="s">
        <v>388</v>
      </c>
      <c r="F43" s="12" t="n">
        <v>45</v>
      </c>
      <c r="G43" s="12" t="n">
        <v>1</v>
      </c>
      <c r="H43" s="12" t="s">
        <v>312</v>
      </c>
    </row>
    <row r="44" customFormat="false" ht="15" hidden="false" customHeight="false" outlineLevel="0" collapsed="false">
      <c r="A44" s="12" t="s">
        <v>318</v>
      </c>
      <c r="B44" s="12" t="s">
        <v>1290</v>
      </c>
      <c r="C44" s="12" t="s">
        <v>153</v>
      </c>
      <c r="D44" s="12" t="n">
        <v>1</v>
      </c>
      <c r="E44" s="12" t="s">
        <v>388</v>
      </c>
      <c r="F44" s="12" t="n">
        <v>45</v>
      </c>
      <c r="G44" s="12" t="n">
        <v>1</v>
      </c>
      <c r="H44" s="12" t="s">
        <v>317</v>
      </c>
    </row>
    <row r="45" customFormat="false" ht="15" hidden="false" customHeight="false" outlineLevel="0" collapsed="false">
      <c r="A45" s="12" t="s">
        <v>322</v>
      </c>
      <c r="B45" s="12" t="s">
        <v>1291</v>
      </c>
      <c r="C45" s="12" t="s">
        <v>153</v>
      </c>
      <c r="D45" s="12" t="n">
        <v>1</v>
      </c>
      <c r="E45" s="12" t="s">
        <v>388</v>
      </c>
      <c r="F45" s="12" t="n">
        <v>45</v>
      </c>
      <c r="G45" s="12" t="n">
        <v>1</v>
      </c>
      <c r="H45" s="12" t="s">
        <v>321</v>
      </c>
    </row>
    <row r="46" customFormat="false" ht="15" hidden="false" customHeight="false" outlineLevel="0" collapsed="false">
      <c r="A46" s="12" t="s">
        <v>326</v>
      </c>
      <c r="B46" s="12" t="s">
        <v>1292</v>
      </c>
      <c r="C46" s="12" t="s">
        <v>153</v>
      </c>
      <c r="D46" s="12" t="n">
        <v>1</v>
      </c>
      <c r="E46" s="12" t="s">
        <v>388</v>
      </c>
      <c r="F46" s="12" t="n">
        <v>45</v>
      </c>
      <c r="G46" s="12" t="n">
        <v>1</v>
      </c>
      <c r="H46" s="12" t="s">
        <v>325</v>
      </c>
    </row>
    <row r="47" customFormat="false" ht="15" hidden="false" customHeight="false" outlineLevel="0" collapsed="false">
      <c r="A47" s="12" t="s">
        <v>332</v>
      </c>
      <c r="B47" s="12" t="s">
        <v>1293</v>
      </c>
      <c r="C47" s="12" t="s">
        <v>153</v>
      </c>
      <c r="D47" s="12" t="n">
        <v>2</v>
      </c>
      <c r="E47" s="12" t="s">
        <v>388</v>
      </c>
      <c r="F47" s="12" t="n">
        <v>45</v>
      </c>
      <c r="G47" s="12" t="n">
        <v>1</v>
      </c>
      <c r="H47" s="12" t="s">
        <v>329</v>
      </c>
    </row>
    <row r="48" customFormat="false" ht="15" hidden="false" customHeight="false" outlineLevel="0" collapsed="false">
      <c r="A48" s="12" t="s">
        <v>337</v>
      </c>
      <c r="B48" s="12" t="s">
        <v>1294</v>
      </c>
      <c r="C48" s="12" t="s">
        <v>153</v>
      </c>
      <c r="D48" s="12" t="n">
        <v>2</v>
      </c>
      <c r="E48" s="12" t="s">
        <v>388</v>
      </c>
      <c r="F48" s="12" t="n">
        <v>45</v>
      </c>
      <c r="G48" s="12" t="n">
        <v>1</v>
      </c>
      <c r="H48" s="12" t="s">
        <v>335</v>
      </c>
    </row>
    <row r="49" customFormat="false" ht="15" hidden="false" customHeight="false" outlineLevel="0" collapsed="false">
      <c r="A49" s="12" t="s">
        <v>341</v>
      </c>
      <c r="B49" s="12" t="s">
        <v>1295</v>
      </c>
      <c r="C49" s="12" t="s">
        <v>153</v>
      </c>
      <c r="D49" s="12" t="n">
        <v>2</v>
      </c>
      <c r="E49" s="12" t="s">
        <v>388</v>
      </c>
      <c r="F49" s="12" t="n">
        <v>45</v>
      </c>
      <c r="G49" s="12" t="n">
        <v>1</v>
      </c>
      <c r="H49" s="12" t="s">
        <v>340</v>
      </c>
    </row>
    <row r="50" customFormat="false" ht="15" hidden="false" customHeight="false" outlineLevel="0" collapsed="false">
      <c r="A50" s="12" t="s">
        <v>346</v>
      </c>
      <c r="B50" s="12" t="s">
        <v>1296</v>
      </c>
      <c r="C50" s="12" t="s">
        <v>153</v>
      </c>
      <c r="D50" s="12" t="n">
        <v>2</v>
      </c>
      <c r="E50" s="12" t="s">
        <v>388</v>
      </c>
      <c r="F50" s="12" t="n">
        <v>45</v>
      </c>
      <c r="G50" s="12" t="n">
        <v>1</v>
      </c>
      <c r="H50" s="12" t="s">
        <v>344</v>
      </c>
    </row>
    <row r="51" customFormat="false" ht="15" hidden="false" customHeight="false" outlineLevel="0" collapsed="false">
      <c r="A51" s="12" t="s">
        <v>350</v>
      </c>
      <c r="B51" s="12" t="s">
        <v>1297</v>
      </c>
      <c r="C51" s="12" t="s">
        <v>153</v>
      </c>
      <c r="D51" s="12" t="n">
        <v>2</v>
      </c>
      <c r="E51" s="12" t="s">
        <v>388</v>
      </c>
      <c r="F51" s="12" t="n">
        <v>45</v>
      </c>
      <c r="G51" s="12" t="n">
        <v>1</v>
      </c>
      <c r="H51" s="12" t="s">
        <v>349</v>
      </c>
    </row>
    <row r="52" customFormat="false" ht="15" hidden="false" customHeight="false" outlineLevel="0" collapsed="false">
      <c r="A52" s="12" t="s">
        <v>356</v>
      </c>
      <c r="B52" s="12" t="s">
        <v>1298</v>
      </c>
      <c r="C52" s="12" t="s">
        <v>153</v>
      </c>
      <c r="D52" s="12" t="n">
        <v>2</v>
      </c>
      <c r="E52" s="12" t="s">
        <v>388</v>
      </c>
      <c r="F52" s="12" t="n">
        <v>45</v>
      </c>
      <c r="G52" s="12" t="n">
        <v>1</v>
      </c>
      <c r="H52" s="12" t="s">
        <v>353</v>
      </c>
    </row>
    <row r="53" customFormat="false" ht="15" hidden="false" customHeight="false" outlineLevel="0" collapsed="false">
      <c r="A53" s="12" t="s">
        <v>361</v>
      </c>
      <c r="B53" s="12" t="s">
        <v>1299</v>
      </c>
      <c r="C53" s="12" t="s">
        <v>153</v>
      </c>
      <c r="D53" s="12" t="n">
        <v>2</v>
      </c>
      <c r="E53" s="12" t="s">
        <v>388</v>
      </c>
      <c r="F53" s="12" t="n">
        <v>45</v>
      </c>
      <c r="G53" s="12" t="n">
        <v>1</v>
      </c>
      <c r="H53" s="12" t="s">
        <v>359</v>
      </c>
    </row>
    <row r="54" customFormat="false" ht="15" hidden="false" customHeight="false" outlineLevel="0" collapsed="false">
      <c r="A54" s="12" t="s">
        <v>365</v>
      </c>
      <c r="B54" s="12" t="s">
        <v>1300</v>
      </c>
      <c r="C54" s="12" t="s">
        <v>153</v>
      </c>
      <c r="D54" s="12" t="n">
        <v>2</v>
      </c>
      <c r="E54" s="12" t="s">
        <v>388</v>
      </c>
      <c r="F54" s="12" t="n">
        <v>45</v>
      </c>
      <c r="G54" s="12" t="n">
        <v>1</v>
      </c>
      <c r="H54" s="12" t="s">
        <v>364</v>
      </c>
    </row>
    <row r="55" customFormat="false" ht="15" hidden="false" customHeight="false" outlineLevel="0" collapsed="false">
      <c r="A55" s="12" t="s">
        <v>369</v>
      </c>
      <c r="B55" s="12" t="s">
        <v>1301</v>
      </c>
      <c r="C55" s="12" t="s">
        <v>153</v>
      </c>
      <c r="D55" s="12" t="n">
        <v>3</v>
      </c>
      <c r="E55" s="12" t="s">
        <v>388</v>
      </c>
      <c r="F55" s="12" t="n">
        <v>45</v>
      </c>
      <c r="G55" s="12" t="n">
        <v>1</v>
      </c>
      <c r="H55" s="12" t="s">
        <v>368</v>
      </c>
    </row>
    <row r="56" customFormat="false" ht="15" hidden="false" customHeight="false" outlineLevel="0" collapsed="false">
      <c r="A56" s="12" t="s">
        <v>373</v>
      </c>
      <c r="B56" s="12" t="s">
        <v>1302</v>
      </c>
      <c r="C56" s="12" t="s">
        <v>153</v>
      </c>
      <c r="D56" s="12" t="n">
        <v>3</v>
      </c>
      <c r="E56" s="12" t="s">
        <v>388</v>
      </c>
      <c r="F56" s="12" t="n">
        <v>45</v>
      </c>
      <c r="G56" s="12" t="n">
        <v>1</v>
      </c>
      <c r="H56" s="12" t="s">
        <v>372</v>
      </c>
    </row>
    <row r="57" customFormat="false" ht="15" hidden="false" customHeight="false" outlineLevel="0" collapsed="false">
      <c r="A57" s="12" t="s">
        <v>1303</v>
      </c>
      <c r="B57" s="12" t="s">
        <v>1304</v>
      </c>
      <c r="C57" s="12" t="s">
        <v>139</v>
      </c>
      <c r="D57" s="12" t="n">
        <v>1</v>
      </c>
      <c r="E57" s="12" t="s">
        <v>417</v>
      </c>
      <c r="F57" s="12" t="n">
        <v>40</v>
      </c>
      <c r="G57" s="12" t="n">
        <v>1</v>
      </c>
      <c r="H57" s="12"/>
    </row>
    <row r="58" customFormat="false" ht="15" hidden="false" customHeight="false" outlineLevel="0" collapsed="false">
      <c r="A58" s="12" t="s">
        <v>1305</v>
      </c>
      <c r="B58" s="12" t="s">
        <v>1306</v>
      </c>
      <c r="C58" s="12" t="s">
        <v>139</v>
      </c>
      <c r="D58" s="12" t="n">
        <v>1</v>
      </c>
      <c r="E58" s="12" t="s">
        <v>417</v>
      </c>
      <c r="F58" s="12" t="n">
        <v>40</v>
      </c>
      <c r="G58" s="12" t="n">
        <v>1</v>
      </c>
      <c r="H58" s="12"/>
    </row>
    <row r="59" customFormat="false" ht="15" hidden="false" customHeight="false" outlineLevel="0" collapsed="false">
      <c r="A59" s="12" t="s">
        <v>1307</v>
      </c>
      <c r="B59" s="12" t="s">
        <v>424</v>
      </c>
      <c r="C59" s="12" t="s">
        <v>153</v>
      </c>
      <c r="D59" s="12" t="n">
        <v>1</v>
      </c>
      <c r="E59" s="12" t="s">
        <v>424</v>
      </c>
      <c r="F59" s="12" t="n">
        <v>40</v>
      </c>
      <c r="G59" s="12" t="n">
        <v>1</v>
      </c>
      <c r="H59" s="12"/>
    </row>
    <row r="60" customFormat="false" ht="15" hidden="false" customHeight="false" outlineLevel="0" collapsed="false">
      <c r="A60" s="12" t="s">
        <v>1308</v>
      </c>
      <c r="B60" s="12" t="s">
        <v>429</v>
      </c>
      <c r="C60" s="12" t="s">
        <v>153</v>
      </c>
      <c r="D60" s="12" t="n">
        <v>1</v>
      </c>
      <c r="E60" s="12" t="s">
        <v>429</v>
      </c>
      <c r="F60" s="12" t="n">
        <v>40</v>
      </c>
      <c r="G60" s="12" t="n">
        <v>1</v>
      </c>
      <c r="H60" s="12"/>
    </row>
    <row r="61" customFormat="false" ht="15" hidden="false" customHeight="false" outlineLevel="0" collapsed="false">
      <c r="A61" s="12" t="s">
        <v>1309</v>
      </c>
      <c r="B61" s="12" t="s">
        <v>432</v>
      </c>
      <c r="C61" s="12" t="s">
        <v>153</v>
      </c>
      <c r="D61" s="12" t="n">
        <v>1</v>
      </c>
      <c r="E61" s="12" t="s">
        <v>432</v>
      </c>
      <c r="F61" s="12" t="n">
        <v>40</v>
      </c>
      <c r="G61" s="12" t="n">
        <v>1</v>
      </c>
      <c r="H61" s="12"/>
    </row>
    <row r="62" customFormat="false" ht="15" hidden="false" customHeight="false" outlineLevel="0" collapsed="false">
      <c r="A62" s="12" t="s">
        <v>1310</v>
      </c>
      <c r="B62" s="12" t="s">
        <v>474</v>
      </c>
      <c r="C62" s="12" t="s">
        <v>133</v>
      </c>
      <c r="D62" s="12" t="n">
        <v>1</v>
      </c>
      <c r="E62" s="12" t="s">
        <v>474</v>
      </c>
      <c r="F62" s="12" t="n">
        <v>80</v>
      </c>
      <c r="G62" s="12" t="n">
        <v>2</v>
      </c>
      <c r="H62" s="12"/>
    </row>
    <row r="63" customFormat="false" ht="15" hidden="false" customHeight="false" outlineLevel="0" collapsed="false">
      <c r="A63" s="12" t="s">
        <v>1311</v>
      </c>
      <c r="B63" s="12" t="s">
        <v>1312</v>
      </c>
      <c r="C63" s="12" t="s">
        <v>42</v>
      </c>
      <c r="D63" s="12" t="n">
        <v>0</v>
      </c>
      <c r="E63" s="12" t="s">
        <v>470</v>
      </c>
      <c r="F63" s="12" t="n">
        <v>160</v>
      </c>
      <c r="G63" s="12" t="n">
        <v>4</v>
      </c>
      <c r="H63" s="12"/>
    </row>
    <row r="64" customFormat="false" ht="15" hidden="false" customHeight="false" outlineLevel="0" collapsed="false">
      <c r="A64" s="12" t="s">
        <v>1313</v>
      </c>
      <c r="B64" s="12" t="s">
        <v>1314</v>
      </c>
      <c r="C64" s="12" t="s">
        <v>133</v>
      </c>
      <c r="D64" s="12" t="n">
        <v>0</v>
      </c>
      <c r="E64" s="12" t="s">
        <v>661</v>
      </c>
      <c r="F64" s="12" t="n">
        <v>60</v>
      </c>
      <c r="G64" s="12" t="n">
        <v>2</v>
      </c>
      <c r="H64" s="12"/>
    </row>
    <row r="65" customFormat="false" ht="15" hidden="false" customHeight="false" outlineLevel="0" collapsed="false">
      <c r="A65" s="12" t="s">
        <v>1315</v>
      </c>
      <c r="B65" s="12" t="s">
        <v>1316</v>
      </c>
      <c r="C65" s="12" t="s">
        <v>139</v>
      </c>
      <c r="D65" s="12" t="n">
        <v>2</v>
      </c>
      <c r="E65" s="12" t="s">
        <v>456</v>
      </c>
      <c r="F65" s="12" t="n">
        <v>40</v>
      </c>
      <c r="G65" s="12" t="n">
        <v>1</v>
      </c>
      <c r="H65" s="12"/>
    </row>
    <row r="66" customFormat="false" ht="15" hidden="false" customHeight="false" outlineLevel="0" collapsed="false">
      <c r="A66" s="12" t="s">
        <v>1317</v>
      </c>
      <c r="B66" s="12" t="s">
        <v>1318</v>
      </c>
      <c r="C66" s="12" t="s">
        <v>139</v>
      </c>
      <c r="D66" s="12" t="n">
        <v>2</v>
      </c>
      <c r="E66" s="12" t="s">
        <v>456</v>
      </c>
      <c r="F66" s="12" t="n">
        <v>40</v>
      </c>
      <c r="G66" s="12" t="n">
        <v>1</v>
      </c>
      <c r="H66" s="12"/>
    </row>
    <row r="67" customFormat="false" ht="15" hidden="false" customHeight="false" outlineLevel="0" collapsed="false">
      <c r="A67" s="12" t="s">
        <v>1319</v>
      </c>
      <c r="B67" s="12" t="s">
        <v>460</v>
      </c>
      <c r="C67" s="12" t="s">
        <v>133</v>
      </c>
      <c r="D67" s="12" t="n">
        <v>2</v>
      </c>
      <c r="E67" s="12" t="s">
        <v>460</v>
      </c>
      <c r="F67" s="12" t="n">
        <v>40</v>
      </c>
      <c r="G67" s="12" t="n">
        <v>1</v>
      </c>
      <c r="H67" s="12"/>
    </row>
    <row r="68" customFormat="false" ht="15" hidden="false" customHeight="false" outlineLevel="0" collapsed="false">
      <c r="A68" s="12" t="s">
        <v>1320</v>
      </c>
      <c r="B68" s="12" t="s">
        <v>465</v>
      </c>
      <c r="C68" s="12" t="s">
        <v>133</v>
      </c>
      <c r="D68" s="12" t="n">
        <v>2</v>
      </c>
      <c r="E68" s="12" t="s">
        <v>465</v>
      </c>
      <c r="F68" s="12" t="n">
        <v>45</v>
      </c>
      <c r="G68" s="12" t="n">
        <v>1</v>
      </c>
      <c r="H68" s="12"/>
    </row>
  </sheetData>
  <autoFilter ref="A1:H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14"/>
  </cols>
  <sheetData>
    <row r="1" customFormat="false" ht="16.15" hidden="false" customHeight="false" outlineLevel="0" collapsed="false">
      <c r="A1" s="9" t="s">
        <v>1321</v>
      </c>
    </row>
    <row r="2" customFormat="false" ht="15" hidden="false" customHeight="false" outlineLevel="0" collapsed="false">
      <c r="A2" s="11" t="s">
        <v>1322</v>
      </c>
    </row>
    <row r="4" customFormat="false" ht="15" hidden="false" customHeight="false" outlineLevel="0" collapsed="false">
      <c r="A4" s="14" t="s">
        <v>489</v>
      </c>
      <c r="B4" s="14" t="s">
        <v>1323</v>
      </c>
      <c r="D4" s="14" t="s">
        <v>1324</v>
      </c>
    </row>
    <row r="5" customFormat="false" ht="15" hidden="false" customHeight="false" outlineLevel="0" collapsed="false">
      <c r="A5" s="15" t="s">
        <v>1325</v>
      </c>
      <c r="B5" s="16" t="n">
        <f aca="false">COUNTIF($M$13:$M$48,A5)</f>
        <v>9</v>
      </c>
      <c r="D5" s="16" t="s">
        <v>1326</v>
      </c>
      <c r="E5" s="17" t="n">
        <v>0.9</v>
      </c>
    </row>
    <row r="6" customFormat="false" ht="15" hidden="false" customHeight="false" outlineLevel="0" collapsed="false">
      <c r="A6" s="15" t="s">
        <v>1327</v>
      </c>
      <c r="B6" s="16" t="n">
        <f aca="false">COUNTIF($M$13:$M$48,A6)</f>
        <v>6</v>
      </c>
      <c r="D6" s="16" t="s">
        <v>1328</v>
      </c>
      <c r="E6" s="17" t="n">
        <v>0.6</v>
      </c>
    </row>
    <row r="7" customFormat="false" ht="15" hidden="false" customHeight="false" outlineLevel="0" collapsed="false">
      <c r="A7" s="15" t="s">
        <v>1329</v>
      </c>
      <c r="B7" s="16" t="n">
        <f aca="false">COUNTIF($M$13:$M$48,A7)</f>
        <v>16</v>
      </c>
      <c r="D7" s="11" t="s">
        <v>1330</v>
      </c>
    </row>
    <row r="8" customFormat="false" ht="15" hidden="false" customHeight="false" outlineLevel="0" collapsed="false">
      <c r="A8" s="15" t="s">
        <v>1331</v>
      </c>
      <c r="B8" s="16" t="n">
        <f aca="false">COUNTIF($M$13:$M$48,A8)</f>
        <v>5</v>
      </c>
    </row>
    <row r="9" customFormat="false" ht="15" hidden="false" customHeight="false" outlineLevel="0" collapsed="false">
      <c r="A9" s="15" t="s">
        <v>1332</v>
      </c>
      <c r="B9" s="16" t="n">
        <f aca="false">COUNTIF($M$13:$M$48,A9)</f>
        <v>0</v>
      </c>
    </row>
    <row r="12" customFormat="false" ht="42" hidden="false" customHeight="true" outlineLevel="0" collapsed="false">
      <c r="A12" s="6" t="s">
        <v>376</v>
      </c>
      <c r="B12" s="6" t="s">
        <v>1333</v>
      </c>
      <c r="C12" s="6" t="s">
        <v>652</v>
      </c>
      <c r="D12" s="6" t="s">
        <v>1334</v>
      </c>
      <c r="E12" s="6" t="s">
        <v>1335</v>
      </c>
      <c r="F12" s="6" t="s">
        <v>1336</v>
      </c>
      <c r="G12" s="6" t="s">
        <v>1337</v>
      </c>
      <c r="H12" s="6" t="s">
        <v>1338</v>
      </c>
      <c r="I12" s="6" t="s">
        <v>1339</v>
      </c>
      <c r="J12" s="6" t="s">
        <v>1340</v>
      </c>
      <c r="K12" s="6" t="s">
        <v>1341</v>
      </c>
      <c r="L12" s="6" t="s">
        <v>1342</v>
      </c>
      <c r="M12" s="6" t="s">
        <v>489</v>
      </c>
    </row>
    <row r="13" customFormat="false" ht="15" hidden="false" customHeight="false" outlineLevel="0" collapsed="false">
      <c r="A13" s="8" t="s">
        <v>384</v>
      </c>
      <c r="B13" s="8" t="s">
        <v>385</v>
      </c>
      <c r="C13" s="8" t="s">
        <v>108</v>
      </c>
      <c r="D13" s="8" t="s">
        <v>110</v>
      </c>
      <c r="E13" s="18" t="n">
        <f aca="false">SUMIFS(Requirements!$G$2:$G$588,Requirements!$E$2:$E$588,$A13,Requirements!$J$2:$J$588,$C13)</f>
        <v>42</v>
      </c>
      <c r="F13" s="18" t="n">
        <f aca="false">COUNTIFS(Teachers!$E$2:$E$100,$A13,Teachers!$D$2:$D$100,$C13)</f>
        <v>2</v>
      </c>
      <c r="G13" s="18" t="n">
        <f aca="false">COUNTIFS(Teachers!$E$2:$E$100,$A13,Teachers!$D$2:$D$100,$C13,Teachers!$L$2:$L$100,"Active")</f>
        <v>2</v>
      </c>
      <c r="H13" s="18" t="n">
        <f aca="false">SUMIFS(Teachers!$I$2:$I$100,Teachers!$E$2:$E$100,$A13,Teachers!$D$2:$D$100,$C13)</f>
        <v>56</v>
      </c>
      <c r="I13" s="18" t="n">
        <f aca="false">SUMIFS(Teachers!$I$2:$I$100,Teachers!$E$2:$E$100,$A13,Teachers!$D$2:$D$100,$C13,Teachers!$L$2:$L$100,"Active")</f>
        <v>56</v>
      </c>
      <c r="J13" s="19" t="n">
        <f aca="false">I13-E13</f>
        <v>14</v>
      </c>
      <c r="K13" s="20" t="n">
        <f aca="false">IF(I13=0,"n/a",E13/I13)</f>
        <v>0.75</v>
      </c>
      <c r="L13" s="21" t="n">
        <f aca="false">IF(G13=0,"n/a",ROUND(J13/(I13/G13),1))</f>
        <v>0.5</v>
      </c>
      <c r="M13" s="22" t="str">
        <f aca="false">IF(I13=0,"NO TEACHER",IF(E13/I13&gt;1,"SHORTAGE",IF(E13/I13&gt;=$E$5,"TIGHT",IF(E13/I13&gt;=$E$6,"BALANCED","SURPLUS"))))</f>
        <v>BALANCED</v>
      </c>
    </row>
    <row r="14" customFormat="false" ht="15" hidden="false" customHeight="false" outlineLevel="0" collapsed="false">
      <c r="A14" s="8" t="s">
        <v>392</v>
      </c>
      <c r="B14" s="8" t="s">
        <v>393</v>
      </c>
      <c r="C14" s="8" t="s">
        <v>108</v>
      </c>
      <c r="D14" s="8" t="s">
        <v>110</v>
      </c>
      <c r="E14" s="18" t="n">
        <f aca="false">SUMIFS(Requirements!$G$2:$G$588,Requirements!$E$2:$E$588,$A14,Requirements!$J$2:$J$588,$C14)</f>
        <v>28</v>
      </c>
      <c r="F14" s="18" t="n">
        <f aca="false">COUNTIFS(Teachers!$E$2:$E$100,$A14,Teachers!$D$2:$D$100,$C14)</f>
        <v>1</v>
      </c>
      <c r="G14" s="18" t="n">
        <f aca="false">COUNTIFS(Teachers!$E$2:$E$100,$A14,Teachers!$D$2:$D$100,$C14,Teachers!$L$2:$L$100,"Active")</f>
        <v>1</v>
      </c>
      <c r="H14" s="18" t="n">
        <f aca="false">SUMIFS(Teachers!$I$2:$I$100,Teachers!$E$2:$E$100,$A14,Teachers!$D$2:$D$100,$C14)</f>
        <v>28</v>
      </c>
      <c r="I14" s="18" t="n">
        <f aca="false">SUMIFS(Teachers!$I$2:$I$100,Teachers!$E$2:$E$100,$A14,Teachers!$D$2:$D$100,$C14,Teachers!$L$2:$L$100,"Active")</f>
        <v>28</v>
      </c>
      <c r="J14" s="19" t="n">
        <f aca="false">I14-E14</f>
        <v>0</v>
      </c>
      <c r="K14" s="20" t="n">
        <f aca="false">IF(I14=0,"n/a",E14/I14)</f>
        <v>1</v>
      </c>
      <c r="L14" s="21" t="n">
        <f aca="false">IF(G14=0,"n/a",ROUND(J14/(I14/G14),1))</f>
        <v>0</v>
      </c>
      <c r="M14" s="22" t="str">
        <f aca="false">IF(I14=0,"NO TEACHER",IF(E14/I14&gt;1,"SHORTAGE",IF(E14/I14&gt;=$E$5,"TIGHT",IF(E14/I14&gt;=$E$6,"BALANCED","SURPLUS"))))</f>
        <v>TIGHT</v>
      </c>
    </row>
    <row r="15" customFormat="false" ht="15" hidden="false" customHeight="false" outlineLevel="0" collapsed="false">
      <c r="A15" s="8" t="s">
        <v>400</v>
      </c>
      <c r="B15" s="8" t="s">
        <v>401</v>
      </c>
      <c r="C15" s="8" t="s">
        <v>108</v>
      </c>
      <c r="D15" s="8" t="s">
        <v>110</v>
      </c>
      <c r="E15" s="18" t="n">
        <f aca="false">SUMIFS(Requirements!$G$2:$G$588,Requirements!$E$2:$E$588,$A15,Requirements!$J$2:$J$588,$C15)</f>
        <v>35</v>
      </c>
      <c r="F15" s="18" t="n">
        <f aca="false">COUNTIFS(Teachers!$E$2:$E$100,$A15,Teachers!$D$2:$D$100,$C15)</f>
        <v>2</v>
      </c>
      <c r="G15" s="18" t="n">
        <f aca="false">COUNTIFS(Teachers!$E$2:$E$100,$A15,Teachers!$D$2:$D$100,$C15,Teachers!$L$2:$L$100,"Active")</f>
        <v>2</v>
      </c>
      <c r="H15" s="18" t="n">
        <f aca="false">SUMIFS(Teachers!$I$2:$I$100,Teachers!$E$2:$E$100,$A15,Teachers!$D$2:$D$100,$C15)</f>
        <v>56</v>
      </c>
      <c r="I15" s="18" t="n">
        <f aca="false">SUMIFS(Teachers!$I$2:$I$100,Teachers!$E$2:$E$100,$A15,Teachers!$D$2:$D$100,$C15,Teachers!$L$2:$L$100,"Active")</f>
        <v>56</v>
      </c>
      <c r="J15" s="19" t="n">
        <f aca="false">I15-E15</f>
        <v>21</v>
      </c>
      <c r="K15" s="20" t="n">
        <f aca="false">IF(I15=0,"n/a",E15/I15)</f>
        <v>0.625</v>
      </c>
      <c r="L15" s="21" t="n">
        <f aca="false">IF(G15=0,"n/a",ROUND(J15/(I15/G15),1))</f>
        <v>0.8</v>
      </c>
      <c r="M15" s="22" t="str">
        <f aca="false">IF(I15=0,"NO TEACHER",IF(E15/I15&gt;1,"SHORTAGE",IF(E15/I15&gt;=$E$5,"TIGHT",IF(E15/I15&gt;=$E$6,"BALANCED","SURPLUS"))))</f>
        <v>BALANCED</v>
      </c>
    </row>
    <row r="16" customFormat="false" ht="15" hidden="false" customHeight="false" outlineLevel="0" collapsed="false">
      <c r="A16" s="8" t="s">
        <v>404</v>
      </c>
      <c r="B16" s="8" t="s">
        <v>405</v>
      </c>
      <c r="C16" s="8" t="s">
        <v>108</v>
      </c>
      <c r="D16" s="8" t="s">
        <v>110</v>
      </c>
      <c r="E16" s="18" t="n">
        <f aca="false">SUMIFS(Requirements!$G$2:$G$588,Requirements!$E$2:$E$588,$A16,Requirements!$J$2:$J$588,$C16)</f>
        <v>21</v>
      </c>
      <c r="F16" s="18" t="n">
        <f aca="false">COUNTIFS(Teachers!$E$2:$E$100,$A16,Teachers!$D$2:$D$100,$C16)</f>
        <v>1</v>
      </c>
      <c r="G16" s="18" t="n">
        <f aca="false">COUNTIFS(Teachers!$E$2:$E$100,$A16,Teachers!$D$2:$D$100,$C16,Teachers!$L$2:$L$100,"Active")</f>
        <v>1</v>
      </c>
      <c r="H16" s="18" t="n">
        <f aca="false">SUMIFS(Teachers!$I$2:$I$100,Teachers!$E$2:$E$100,$A16,Teachers!$D$2:$D$100,$C16)</f>
        <v>28</v>
      </c>
      <c r="I16" s="18" t="n">
        <f aca="false">SUMIFS(Teachers!$I$2:$I$100,Teachers!$E$2:$E$100,$A16,Teachers!$D$2:$D$100,$C16,Teachers!$L$2:$L$100,"Active")</f>
        <v>28</v>
      </c>
      <c r="J16" s="19" t="n">
        <f aca="false">I16-E16</f>
        <v>7</v>
      </c>
      <c r="K16" s="20" t="n">
        <f aca="false">IF(I16=0,"n/a",E16/I16)</f>
        <v>0.75</v>
      </c>
      <c r="L16" s="21" t="n">
        <f aca="false">IF(G16=0,"n/a",ROUND(J16/(I16/G16),1))</f>
        <v>0.3</v>
      </c>
      <c r="M16" s="22" t="str">
        <f aca="false">IF(I16=0,"NO TEACHER",IF(E16/I16&gt;1,"SHORTAGE",IF(E16/I16&gt;=$E$5,"TIGHT",IF(E16/I16&gt;=$E$6,"BALANCED","SURPLUS"))))</f>
        <v>BALANCED</v>
      </c>
    </row>
    <row r="17" customFormat="false" ht="15" hidden="false" customHeight="false" outlineLevel="0" collapsed="false">
      <c r="A17" s="8" t="s">
        <v>476</v>
      </c>
      <c r="B17" s="8" t="s">
        <v>477</v>
      </c>
      <c r="C17" s="8" t="s">
        <v>108</v>
      </c>
      <c r="D17" s="8" t="s">
        <v>110</v>
      </c>
      <c r="E17" s="18" t="n">
        <f aca="false">SUMIFS(Requirements!$G$2:$G$588,Requirements!$E$2:$E$588,$A17,Requirements!$J$2:$J$588,$C17)</f>
        <v>21</v>
      </c>
      <c r="F17" s="18" t="n">
        <f aca="false">COUNTIFS(Teachers!$E$2:$E$100,$A17,Teachers!$D$2:$D$100,$C17)</f>
        <v>1</v>
      </c>
      <c r="G17" s="18" t="n">
        <f aca="false">COUNTIFS(Teachers!$E$2:$E$100,$A17,Teachers!$D$2:$D$100,$C17,Teachers!$L$2:$L$100,"Active")</f>
        <v>1</v>
      </c>
      <c r="H17" s="18" t="n">
        <f aca="false">SUMIFS(Teachers!$I$2:$I$100,Teachers!$E$2:$E$100,$A17,Teachers!$D$2:$D$100,$C17)</f>
        <v>28</v>
      </c>
      <c r="I17" s="18" t="n">
        <f aca="false">SUMIFS(Teachers!$I$2:$I$100,Teachers!$E$2:$E$100,$A17,Teachers!$D$2:$D$100,$C17,Teachers!$L$2:$L$100,"Active")</f>
        <v>28</v>
      </c>
      <c r="J17" s="19" t="n">
        <f aca="false">I17-E17</f>
        <v>7</v>
      </c>
      <c r="K17" s="20" t="n">
        <f aca="false">IF(I17=0,"n/a",E17/I17)</f>
        <v>0.75</v>
      </c>
      <c r="L17" s="21" t="n">
        <f aca="false">IF(G17=0,"n/a",ROUND(J17/(I17/G17),1))</f>
        <v>0.3</v>
      </c>
      <c r="M17" s="22" t="str">
        <f aca="false">IF(I17=0,"NO TEACHER",IF(E17/I17&gt;1,"SHORTAGE",IF(E17/I17&gt;=$E$5,"TIGHT",IF(E17/I17&gt;=$E$6,"BALANCED","SURPLUS"))))</f>
        <v>BALANCED</v>
      </c>
    </row>
    <row r="18" customFormat="false" ht="15" hidden="false" customHeight="false" outlineLevel="0" collapsed="false">
      <c r="A18" s="8" t="s">
        <v>384</v>
      </c>
      <c r="B18" s="8" t="s">
        <v>385</v>
      </c>
      <c r="C18" s="8" t="s">
        <v>111</v>
      </c>
      <c r="D18" s="8" t="s">
        <v>64</v>
      </c>
      <c r="E18" s="18" t="n">
        <f aca="false">SUMIFS(Requirements!$G$2:$G$588,Requirements!$E$2:$E$588,$A18,Requirements!$J$2:$J$588,$C18)</f>
        <v>152</v>
      </c>
      <c r="F18" s="18" t="n">
        <f aca="false">COUNTIFS(Teachers!$E$2:$E$100,$A18,Teachers!$D$2:$D$100,$C18)</f>
        <v>6</v>
      </c>
      <c r="G18" s="18" t="n">
        <f aca="false">COUNTIFS(Teachers!$E$2:$E$100,$A18,Teachers!$D$2:$D$100,$C18,Teachers!$L$2:$L$100,"Active")</f>
        <v>6</v>
      </c>
      <c r="H18" s="18" t="n">
        <f aca="false">SUMIFS(Teachers!$I$2:$I$100,Teachers!$E$2:$E$100,$A18,Teachers!$D$2:$D$100,$C18)</f>
        <v>180</v>
      </c>
      <c r="I18" s="18" t="n">
        <f aca="false">SUMIFS(Teachers!$I$2:$I$100,Teachers!$E$2:$E$100,$A18,Teachers!$D$2:$D$100,$C18,Teachers!$L$2:$L$100,"Active")</f>
        <v>180</v>
      </c>
      <c r="J18" s="19" t="n">
        <f aca="false">I18-E18</f>
        <v>28</v>
      </c>
      <c r="K18" s="20" t="n">
        <f aca="false">IF(I18=0,"n/a",E18/I18)</f>
        <v>0.844444444444444</v>
      </c>
      <c r="L18" s="21" t="n">
        <f aca="false">IF(G18=0,"n/a",ROUND(J18/(I18/G18),1))</f>
        <v>0.9</v>
      </c>
      <c r="M18" s="22" t="str">
        <f aca="false">IF(I18=0,"NO TEACHER",IF(E18/I18&gt;1,"SHORTAGE",IF(E18/I18&gt;=$E$5,"TIGHT",IF(E18/I18&gt;=$E$6,"BALANCED","SURPLUS"))))</f>
        <v>BALANCED</v>
      </c>
    </row>
    <row r="19" customFormat="false" ht="15" hidden="false" customHeight="false" outlineLevel="0" collapsed="false">
      <c r="A19" s="8" t="s">
        <v>392</v>
      </c>
      <c r="B19" s="8" t="s">
        <v>393</v>
      </c>
      <c r="C19" s="8" t="s">
        <v>111</v>
      </c>
      <c r="D19" s="8" t="s">
        <v>64</v>
      </c>
      <c r="E19" s="18" t="n">
        <f aca="false">SUMIFS(Requirements!$G$2:$G$588,Requirements!$E$2:$E$588,$A19,Requirements!$J$2:$J$588,$C19)</f>
        <v>114</v>
      </c>
      <c r="F19" s="18" t="n">
        <f aca="false">COUNTIFS(Teachers!$E$2:$E$100,$A19,Teachers!$D$2:$D$100,$C19)</f>
        <v>4</v>
      </c>
      <c r="G19" s="18" t="n">
        <f aca="false">COUNTIFS(Teachers!$E$2:$E$100,$A19,Teachers!$D$2:$D$100,$C19,Teachers!$L$2:$L$100,"Active")</f>
        <v>4</v>
      </c>
      <c r="H19" s="18" t="n">
        <f aca="false">SUMIFS(Teachers!$I$2:$I$100,Teachers!$E$2:$E$100,$A19,Teachers!$D$2:$D$100,$C19)</f>
        <v>120</v>
      </c>
      <c r="I19" s="18" t="n">
        <f aca="false">SUMIFS(Teachers!$I$2:$I$100,Teachers!$E$2:$E$100,$A19,Teachers!$D$2:$D$100,$C19,Teachers!$L$2:$L$100,"Active")</f>
        <v>120</v>
      </c>
      <c r="J19" s="19" t="n">
        <f aca="false">I19-E19</f>
        <v>6</v>
      </c>
      <c r="K19" s="20" t="n">
        <f aca="false">IF(I19=0,"n/a",E19/I19)</f>
        <v>0.95</v>
      </c>
      <c r="L19" s="21" t="n">
        <f aca="false">IF(G19=0,"n/a",ROUND(J19/(I19/G19),1))</f>
        <v>0.2</v>
      </c>
      <c r="M19" s="22" t="str">
        <f aca="false">IF(I19=0,"NO TEACHER",IF(E19/I19&gt;1,"SHORTAGE",IF(E19/I19&gt;=$E$5,"TIGHT",IF(E19/I19&gt;=$E$6,"BALANCED","SURPLUS"))))</f>
        <v>TIGHT</v>
      </c>
    </row>
    <row r="20" customFormat="false" ht="15" hidden="false" customHeight="false" outlineLevel="0" collapsed="false">
      <c r="A20" s="8" t="s">
        <v>400</v>
      </c>
      <c r="B20" s="8" t="s">
        <v>401</v>
      </c>
      <c r="C20" s="8" t="s">
        <v>111</v>
      </c>
      <c r="D20" s="8" t="s">
        <v>64</v>
      </c>
      <c r="E20" s="18" t="n">
        <f aca="false">SUMIFS(Requirements!$G$2:$G$588,Requirements!$E$2:$E$588,$A20,Requirements!$J$2:$J$588,$C20)</f>
        <v>145</v>
      </c>
      <c r="F20" s="18" t="n">
        <f aca="false">COUNTIFS(Teachers!$E$2:$E$100,$A20,Teachers!$D$2:$D$100,$C20)</f>
        <v>5</v>
      </c>
      <c r="G20" s="18" t="n">
        <f aca="false">COUNTIFS(Teachers!$E$2:$E$100,$A20,Teachers!$D$2:$D$100,$C20,Teachers!$L$2:$L$100,"Active")</f>
        <v>5</v>
      </c>
      <c r="H20" s="18" t="n">
        <f aca="false">SUMIFS(Teachers!$I$2:$I$100,Teachers!$E$2:$E$100,$A20,Teachers!$D$2:$D$100,$C20)</f>
        <v>150</v>
      </c>
      <c r="I20" s="18" t="n">
        <f aca="false">SUMIFS(Teachers!$I$2:$I$100,Teachers!$E$2:$E$100,$A20,Teachers!$D$2:$D$100,$C20,Teachers!$L$2:$L$100,"Active")</f>
        <v>150</v>
      </c>
      <c r="J20" s="19" t="n">
        <f aca="false">I20-E20</f>
        <v>5</v>
      </c>
      <c r="K20" s="20" t="n">
        <f aca="false">IF(I20=0,"n/a",E20/I20)</f>
        <v>0.966666666666667</v>
      </c>
      <c r="L20" s="21" t="n">
        <f aca="false">IF(G20=0,"n/a",ROUND(J20/(I20/G20),1))</f>
        <v>0.2</v>
      </c>
      <c r="M20" s="22" t="str">
        <f aca="false">IF(I20=0,"NO TEACHER",IF(E20/I20&gt;1,"SHORTAGE",IF(E20/I20&gt;=$E$5,"TIGHT",IF(E20/I20&gt;=$E$6,"BALANCED","SURPLUS"))))</f>
        <v>TIGHT</v>
      </c>
    </row>
    <row r="21" customFormat="false" ht="15" hidden="false" customHeight="false" outlineLevel="0" collapsed="false">
      <c r="A21" s="8" t="s">
        <v>404</v>
      </c>
      <c r="B21" s="8" t="s">
        <v>405</v>
      </c>
      <c r="C21" s="8" t="s">
        <v>111</v>
      </c>
      <c r="D21" s="8" t="s">
        <v>64</v>
      </c>
      <c r="E21" s="18" t="n">
        <f aca="false">SUMIFS(Requirements!$G$2:$G$588,Requirements!$E$2:$E$588,$A21,Requirements!$J$2:$J$588,$C21)</f>
        <v>35</v>
      </c>
      <c r="F21" s="18" t="n">
        <f aca="false">COUNTIFS(Teachers!$E$2:$E$100,$A21,Teachers!$D$2:$D$100,$C21)</f>
        <v>3</v>
      </c>
      <c r="G21" s="18" t="n">
        <f aca="false">COUNTIFS(Teachers!$E$2:$E$100,$A21,Teachers!$D$2:$D$100,$C21,Teachers!$L$2:$L$100,"Active")</f>
        <v>3</v>
      </c>
      <c r="H21" s="18" t="n">
        <f aca="false">SUMIFS(Teachers!$I$2:$I$100,Teachers!$E$2:$E$100,$A21,Teachers!$D$2:$D$100,$C21)</f>
        <v>90</v>
      </c>
      <c r="I21" s="18" t="n">
        <f aca="false">SUMIFS(Teachers!$I$2:$I$100,Teachers!$E$2:$E$100,$A21,Teachers!$D$2:$D$100,$C21,Teachers!$L$2:$L$100,"Active")</f>
        <v>90</v>
      </c>
      <c r="J21" s="19" t="n">
        <f aca="false">I21-E21</f>
        <v>55</v>
      </c>
      <c r="K21" s="20" t="n">
        <f aca="false">IF(I21=0,"n/a",E21/I21)</f>
        <v>0.388888888888889</v>
      </c>
      <c r="L21" s="21" t="n">
        <f aca="false">IF(G21=0,"n/a",ROUND(J21/(I21/G21),1))</f>
        <v>1.8</v>
      </c>
      <c r="M21" s="22" t="str">
        <f aca="false">IF(I21=0,"NO TEACHER",IF(E21/I21&gt;1,"SHORTAGE",IF(E21/I21&gt;=$E$5,"TIGHT",IF(E21/I21&gt;=$E$6,"BALANCED","SURPLUS"))))</f>
        <v>SURPLUS</v>
      </c>
    </row>
    <row r="22" customFormat="false" ht="15" hidden="false" customHeight="false" outlineLevel="0" collapsed="false">
      <c r="A22" s="8" t="s">
        <v>408</v>
      </c>
      <c r="B22" s="8" t="s">
        <v>409</v>
      </c>
      <c r="C22" s="8" t="s">
        <v>111</v>
      </c>
      <c r="D22" s="8" t="s">
        <v>64</v>
      </c>
      <c r="E22" s="18" t="n">
        <f aca="false">SUMIFS(Requirements!$G$2:$G$588,Requirements!$E$2:$E$588,$A22,Requirements!$J$2:$J$588,$C22)</f>
        <v>48</v>
      </c>
      <c r="F22" s="18" t="n">
        <f aca="false">COUNTIFS(Teachers!$E$2:$E$100,$A22,Teachers!$D$2:$D$100,$C22)</f>
        <v>2</v>
      </c>
      <c r="G22" s="18" t="n">
        <f aca="false">COUNTIFS(Teachers!$E$2:$E$100,$A22,Teachers!$D$2:$D$100,$C22,Teachers!$L$2:$L$100,"Active")</f>
        <v>2</v>
      </c>
      <c r="H22" s="18" t="n">
        <f aca="false">SUMIFS(Teachers!$I$2:$I$100,Teachers!$E$2:$E$100,$A22,Teachers!$D$2:$D$100,$C22)</f>
        <v>60</v>
      </c>
      <c r="I22" s="18" t="n">
        <f aca="false">SUMIFS(Teachers!$I$2:$I$100,Teachers!$E$2:$E$100,$A22,Teachers!$D$2:$D$100,$C22,Teachers!$L$2:$L$100,"Active")</f>
        <v>60</v>
      </c>
      <c r="J22" s="19" t="n">
        <f aca="false">I22-E22</f>
        <v>12</v>
      </c>
      <c r="K22" s="20" t="n">
        <f aca="false">IF(I22=0,"n/a",E22/I22)</f>
        <v>0.8</v>
      </c>
      <c r="L22" s="21" t="n">
        <f aca="false">IF(G22=0,"n/a",ROUND(J22/(I22/G22),1))</f>
        <v>0.4</v>
      </c>
      <c r="M22" s="22" t="str">
        <f aca="false">IF(I22=0,"NO TEACHER",IF(E22/I22&gt;1,"SHORTAGE",IF(E22/I22&gt;=$E$5,"TIGHT",IF(E22/I22&gt;=$E$6,"BALANCED","SURPLUS"))))</f>
        <v>BALANCED</v>
      </c>
    </row>
    <row r="23" customFormat="false" ht="15" hidden="false" customHeight="false" outlineLevel="0" collapsed="false">
      <c r="A23" s="8" t="s">
        <v>412</v>
      </c>
      <c r="B23" s="8" t="s">
        <v>413</v>
      </c>
      <c r="C23" s="8" t="s">
        <v>111</v>
      </c>
      <c r="D23" s="8" t="s">
        <v>64</v>
      </c>
      <c r="E23" s="18" t="n">
        <f aca="false">SUMIFS(Requirements!$G$2:$G$588,Requirements!$E$2:$E$588,$A23,Requirements!$J$2:$J$588,$C23)</f>
        <v>48</v>
      </c>
      <c r="F23" s="18" t="n">
        <f aca="false">COUNTIFS(Teachers!$E$2:$E$100,$A23,Teachers!$D$2:$D$100,$C23)</f>
        <v>3</v>
      </c>
      <c r="G23" s="18" t="n">
        <f aca="false">COUNTIFS(Teachers!$E$2:$E$100,$A23,Teachers!$D$2:$D$100,$C23,Teachers!$L$2:$L$100,"Active")</f>
        <v>3</v>
      </c>
      <c r="H23" s="18" t="n">
        <f aca="false">SUMIFS(Teachers!$I$2:$I$100,Teachers!$E$2:$E$100,$A23,Teachers!$D$2:$D$100,$C23)</f>
        <v>90</v>
      </c>
      <c r="I23" s="18" t="n">
        <f aca="false">SUMIFS(Teachers!$I$2:$I$100,Teachers!$E$2:$E$100,$A23,Teachers!$D$2:$D$100,$C23,Teachers!$L$2:$L$100,"Active")</f>
        <v>90</v>
      </c>
      <c r="J23" s="19" t="n">
        <f aca="false">I23-E23</f>
        <v>42</v>
      </c>
      <c r="K23" s="20" t="n">
        <f aca="false">IF(I23=0,"n/a",E23/I23)</f>
        <v>0.533333333333333</v>
      </c>
      <c r="L23" s="21" t="n">
        <f aca="false">IF(G23=0,"n/a",ROUND(J23/(I23/G23),1))</f>
        <v>1.4</v>
      </c>
      <c r="M23" s="22" t="str">
        <f aca="false">IF(I23=0,"NO TEACHER",IF(E23/I23&gt;1,"SHORTAGE",IF(E23/I23&gt;=$E$5,"TIGHT",IF(E23/I23&gt;=$E$6,"BALANCED","SURPLUS"))))</f>
        <v>SURPLUS</v>
      </c>
    </row>
    <row r="24" customFormat="false" ht="15" hidden="false" customHeight="false" outlineLevel="0" collapsed="false">
      <c r="A24" s="8" t="s">
        <v>384</v>
      </c>
      <c r="B24" s="8" t="s">
        <v>385</v>
      </c>
      <c r="C24" s="8" t="s">
        <v>113</v>
      </c>
      <c r="D24" s="8" t="s">
        <v>1343</v>
      </c>
      <c r="E24" s="18" t="n">
        <f aca="false">SUMIFS(Requirements!$G$2:$G$588,Requirements!$E$2:$E$588,$A24,Requirements!$J$2:$J$588,$C24)</f>
        <v>141</v>
      </c>
      <c r="F24" s="18" t="n">
        <f aca="false">COUNTIFS(Teachers!$E$2:$E$100,$A24,Teachers!$D$2:$D$100,$C24)</f>
        <v>5</v>
      </c>
      <c r="G24" s="18" t="n">
        <f aca="false">COUNTIFS(Teachers!$E$2:$E$100,$A24,Teachers!$D$2:$D$100,$C24,Teachers!$L$2:$L$100,"Active")</f>
        <v>5</v>
      </c>
      <c r="H24" s="18" t="n">
        <f aca="false">SUMIFS(Teachers!$I$2:$I$100,Teachers!$E$2:$E$100,$A24,Teachers!$D$2:$D$100,$C24)</f>
        <v>150</v>
      </c>
      <c r="I24" s="18" t="n">
        <f aca="false">SUMIFS(Teachers!$I$2:$I$100,Teachers!$E$2:$E$100,$A24,Teachers!$D$2:$D$100,$C24,Teachers!$L$2:$L$100,"Active")</f>
        <v>150</v>
      </c>
      <c r="J24" s="19" t="n">
        <f aca="false">I24-E24</f>
        <v>9</v>
      </c>
      <c r="K24" s="20" t="n">
        <f aca="false">IF(I24=0,"n/a",E24/I24)</f>
        <v>0.94</v>
      </c>
      <c r="L24" s="21" t="n">
        <f aca="false">IF(G24=0,"n/a",ROUND(J24/(I24/G24),1))</f>
        <v>0.3</v>
      </c>
      <c r="M24" s="22" t="str">
        <f aca="false">IF(I24=0,"NO TEACHER",IF(E24/I24&gt;1,"SHORTAGE",IF(E24/I24&gt;=$E$5,"TIGHT",IF(E24/I24&gt;=$E$6,"BALANCED","SURPLUS"))))</f>
        <v>TIGHT</v>
      </c>
    </row>
    <row r="25" customFormat="false" ht="15" hidden="false" customHeight="false" outlineLevel="0" collapsed="false">
      <c r="A25" s="8" t="s">
        <v>392</v>
      </c>
      <c r="B25" s="8" t="s">
        <v>393</v>
      </c>
      <c r="C25" s="8" t="s">
        <v>113</v>
      </c>
      <c r="D25" s="8" t="s">
        <v>1343</v>
      </c>
      <c r="E25" s="18" t="n">
        <f aca="false">SUMIFS(Requirements!$G$2:$G$588,Requirements!$E$2:$E$588,$A25,Requirements!$J$2:$J$588,$C25)</f>
        <v>114</v>
      </c>
      <c r="F25" s="18" t="n">
        <f aca="false">COUNTIFS(Teachers!$E$2:$E$100,$A25,Teachers!$D$2:$D$100,$C25)</f>
        <v>7</v>
      </c>
      <c r="G25" s="18" t="n">
        <f aca="false">COUNTIFS(Teachers!$E$2:$E$100,$A25,Teachers!$D$2:$D$100,$C25,Teachers!$L$2:$L$100,"Active")</f>
        <v>7</v>
      </c>
      <c r="H25" s="18" t="n">
        <f aca="false">SUMIFS(Teachers!$I$2:$I$100,Teachers!$E$2:$E$100,$A25,Teachers!$D$2:$D$100,$C25)</f>
        <v>210</v>
      </c>
      <c r="I25" s="18" t="n">
        <f aca="false">SUMIFS(Teachers!$I$2:$I$100,Teachers!$E$2:$E$100,$A25,Teachers!$D$2:$D$100,$C25,Teachers!$L$2:$L$100,"Active")</f>
        <v>210</v>
      </c>
      <c r="J25" s="19" t="n">
        <f aca="false">I25-E25</f>
        <v>96</v>
      </c>
      <c r="K25" s="20" t="n">
        <f aca="false">IF(I25=0,"n/a",E25/I25)</f>
        <v>0.542857142857143</v>
      </c>
      <c r="L25" s="21" t="n">
        <f aca="false">IF(G25=0,"n/a",ROUND(J25/(I25/G25),1))</f>
        <v>3.2</v>
      </c>
      <c r="M25" s="22" t="str">
        <f aca="false">IF(I25=0,"NO TEACHER",IF(E25/I25&gt;1,"SHORTAGE",IF(E25/I25&gt;=$E$5,"TIGHT",IF(E25/I25&gt;=$E$6,"BALANCED","SURPLUS"))))</f>
        <v>SURPLUS</v>
      </c>
    </row>
    <row r="26" customFormat="false" ht="15" hidden="false" customHeight="false" outlineLevel="0" collapsed="false">
      <c r="A26" s="8" t="s">
        <v>396</v>
      </c>
      <c r="B26" s="8" t="s">
        <v>397</v>
      </c>
      <c r="C26" s="8" t="s">
        <v>113</v>
      </c>
      <c r="D26" s="8" t="s">
        <v>1343</v>
      </c>
      <c r="E26" s="18" t="n">
        <f aca="false">SUMIFS(Requirements!$G$2:$G$588,Requirements!$E$2:$E$588,$A26,Requirements!$J$2:$J$588,$C26)</f>
        <v>44</v>
      </c>
      <c r="F26" s="18" t="n">
        <f aca="false">COUNTIFS(Teachers!$E$2:$E$100,$A26,Teachers!$D$2:$D$100,$C26)</f>
        <v>1</v>
      </c>
      <c r="G26" s="18" t="n">
        <f aca="false">COUNTIFS(Teachers!$E$2:$E$100,$A26,Teachers!$D$2:$D$100,$C26,Teachers!$L$2:$L$100,"Active")</f>
        <v>1</v>
      </c>
      <c r="H26" s="18" t="n">
        <f aca="false">SUMIFS(Teachers!$I$2:$I$100,Teachers!$E$2:$E$100,$A26,Teachers!$D$2:$D$100,$C26)</f>
        <v>30</v>
      </c>
      <c r="I26" s="18" t="n">
        <f aca="false">SUMIFS(Teachers!$I$2:$I$100,Teachers!$E$2:$E$100,$A26,Teachers!$D$2:$D$100,$C26,Teachers!$L$2:$L$100,"Active")</f>
        <v>30</v>
      </c>
      <c r="J26" s="19" t="n">
        <f aca="false">I26-E26</f>
        <v>-14</v>
      </c>
      <c r="K26" s="20" t="n">
        <f aca="false">IF(I26=0,"n/a",E26/I26)</f>
        <v>1.46666666666667</v>
      </c>
      <c r="L26" s="21" t="n">
        <f aca="false">IF(G26=0,"n/a",ROUND(J26/(I26/G26),1))</f>
        <v>-0.5</v>
      </c>
      <c r="M26" s="22" t="str">
        <f aca="false">IF(I26=0,"NO TEACHER",IF(E26/I26&gt;1,"SHORTAGE",IF(E26/I26&gt;=$E$5,"TIGHT",IF(E26/I26&gt;=$E$6,"BALANCED","SURPLUS"))))</f>
        <v>SHORTAGE</v>
      </c>
    </row>
    <row r="27" customFormat="false" ht="15" hidden="false" customHeight="false" outlineLevel="0" collapsed="false">
      <c r="A27" s="8" t="s">
        <v>400</v>
      </c>
      <c r="B27" s="8" t="s">
        <v>401</v>
      </c>
      <c r="C27" s="8" t="s">
        <v>113</v>
      </c>
      <c r="D27" s="8" t="s">
        <v>1343</v>
      </c>
      <c r="E27" s="18" t="n">
        <f aca="false">SUMIFS(Requirements!$G$2:$G$588,Requirements!$E$2:$E$588,$A27,Requirements!$J$2:$J$588,$C27)</f>
        <v>141</v>
      </c>
      <c r="F27" s="18" t="n">
        <f aca="false">COUNTIFS(Teachers!$E$2:$E$100,$A27,Teachers!$D$2:$D$100,$C27)</f>
        <v>5</v>
      </c>
      <c r="G27" s="18" t="n">
        <f aca="false">COUNTIFS(Teachers!$E$2:$E$100,$A27,Teachers!$D$2:$D$100,$C27,Teachers!$L$2:$L$100,"Active")</f>
        <v>5</v>
      </c>
      <c r="H27" s="18" t="n">
        <f aca="false">SUMIFS(Teachers!$I$2:$I$100,Teachers!$E$2:$E$100,$A27,Teachers!$D$2:$D$100,$C27)</f>
        <v>150</v>
      </c>
      <c r="I27" s="18" t="n">
        <f aca="false">SUMIFS(Teachers!$I$2:$I$100,Teachers!$E$2:$E$100,$A27,Teachers!$D$2:$D$100,$C27,Teachers!$L$2:$L$100,"Active")</f>
        <v>150</v>
      </c>
      <c r="J27" s="19" t="n">
        <f aca="false">I27-E27</f>
        <v>9</v>
      </c>
      <c r="K27" s="20" t="n">
        <f aca="false">IF(I27=0,"n/a",E27/I27)</f>
        <v>0.94</v>
      </c>
      <c r="L27" s="21" t="n">
        <f aca="false">IF(G27=0,"n/a",ROUND(J27/(I27/G27),1))</f>
        <v>0.3</v>
      </c>
      <c r="M27" s="22" t="str">
        <f aca="false">IF(I27=0,"NO TEACHER",IF(E27/I27&gt;1,"SHORTAGE",IF(E27/I27&gt;=$E$5,"TIGHT",IF(E27/I27&gt;=$E$6,"BALANCED","SURPLUS"))))</f>
        <v>TIGHT</v>
      </c>
    </row>
    <row r="28" customFormat="false" ht="15" hidden="false" customHeight="false" outlineLevel="0" collapsed="false">
      <c r="A28" s="8" t="s">
        <v>408</v>
      </c>
      <c r="B28" s="8" t="s">
        <v>409</v>
      </c>
      <c r="C28" s="8" t="s">
        <v>113</v>
      </c>
      <c r="D28" s="8" t="s">
        <v>1343</v>
      </c>
      <c r="E28" s="18" t="n">
        <f aca="false">SUMIFS(Requirements!$G$2:$G$588,Requirements!$E$2:$E$588,$A28,Requirements!$J$2:$J$588,$C28)</f>
        <v>130</v>
      </c>
      <c r="F28" s="18" t="n">
        <f aca="false">COUNTIFS(Teachers!$E$2:$E$100,$A28,Teachers!$D$2:$D$100,$C28)</f>
        <v>5</v>
      </c>
      <c r="G28" s="18" t="n">
        <f aca="false">COUNTIFS(Teachers!$E$2:$E$100,$A28,Teachers!$D$2:$D$100,$C28,Teachers!$L$2:$L$100,"Active")</f>
        <v>5</v>
      </c>
      <c r="H28" s="18" t="n">
        <f aca="false">SUMIFS(Teachers!$I$2:$I$100,Teachers!$E$2:$E$100,$A28,Teachers!$D$2:$D$100,$C28)</f>
        <v>150</v>
      </c>
      <c r="I28" s="18" t="n">
        <f aca="false">SUMIFS(Teachers!$I$2:$I$100,Teachers!$E$2:$E$100,$A28,Teachers!$D$2:$D$100,$C28,Teachers!$L$2:$L$100,"Active")</f>
        <v>150</v>
      </c>
      <c r="J28" s="19" t="n">
        <f aca="false">I28-E28</f>
        <v>20</v>
      </c>
      <c r="K28" s="20" t="n">
        <f aca="false">IF(I28=0,"n/a",E28/I28)</f>
        <v>0.866666666666667</v>
      </c>
      <c r="L28" s="21" t="n">
        <f aca="false">IF(G28=0,"n/a",ROUND(J28/(I28/G28),1))</f>
        <v>0.7</v>
      </c>
      <c r="M28" s="22" t="str">
        <f aca="false">IF(I28=0,"NO TEACHER",IF(E28/I28&gt;1,"SHORTAGE",IF(E28/I28&gt;=$E$5,"TIGHT",IF(E28/I28&gt;=$E$6,"BALANCED","SURPLUS"))))</f>
        <v>BALANCED</v>
      </c>
    </row>
    <row r="29" customFormat="false" ht="15" hidden="false" customHeight="false" outlineLevel="0" collapsed="false">
      <c r="A29" s="8" t="s">
        <v>412</v>
      </c>
      <c r="B29" s="8" t="s">
        <v>413</v>
      </c>
      <c r="C29" s="8" t="s">
        <v>113</v>
      </c>
      <c r="D29" s="8" t="s">
        <v>1343</v>
      </c>
      <c r="E29" s="18" t="n">
        <f aca="false">SUMIFS(Requirements!$G$2:$G$588,Requirements!$E$2:$E$588,$A29,Requirements!$J$2:$J$588,$C29)</f>
        <v>122</v>
      </c>
      <c r="F29" s="18" t="n">
        <f aca="false">COUNTIFS(Teachers!$E$2:$E$100,$A29,Teachers!$D$2:$D$100,$C29)</f>
        <v>7</v>
      </c>
      <c r="G29" s="18" t="n">
        <f aca="false">COUNTIFS(Teachers!$E$2:$E$100,$A29,Teachers!$D$2:$D$100,$C29,Teachers!$L$2:$L$100,"Active")</f>
        <v>7</v>
      </c>
      <c r="H29" s="18" t="n">
        <f aca="false">SUMIFS(Teachers!$I$2:$I$100,Teachers!$E$2:$E$100,$A29,Teachers!$D$2:$D$100,$C29)</f>
        <v>210</v>
      </c>
      <c r="I29" s="18" t="n">
        <f aca="false">SUMIFS(Teachers!$I$2:$I$100,Teachers!$E$2:$E$100,$A29,Teachers!$D$2:$D$100,$C29,Teachers!$L$2:$L$100,"Active")</f>
        <v>210</v>
      </c>
      <c r="J29" s="19" t="n">
        <f aca="false">I29-E29</f>
        <v>88</v>
      </c>
      <c r="K29" s="20" t="n">
        <f aca="false">IF(I29=0,"n/a",E29/I29)</f>
        <v>0.580952380952381</v>
      </c>
      <c r="L29" s="21" t="n">
        <f aca="false">IF(G29=0,"n/a",ROUND(J29/(I29/G29),1))</f>
        <v>2.9</v>
      </c>
      <c r="M29" s="22" t="str">
        <f aca="false">IF(I29=0,"NO TEACHER",IF(E29/I29&gt;1,"SHORTAGE",IF(E29/I29&gt;=$E$5,"TIGHT",IF(E29/I29&gt;=$E$6,"BALANCED","SURPLUS"))))</f>
        <v>SURPLUS</v>
      </c>
    </row>
    <row r="30" customFormat="false" ht="15" hidden="false" customHeight="false" outlineLevel="0" collapsed="false">
      <c r="A30" s="8" t="s">
        <v>414</v>
      </c>
      <c r="B30" s="8" t="s">
        <v>415</v>
      </c>
      <c r="C30" s="8" t="s">
        <v>113</v>
      </c>
      <c r="D30" s="8" t="s">
        <v>1343</v>
      </c>
      <c r="E30" s="18" t="n">
        <f aca="false">SUMIFS(Requirements!$G$2:$G$588,Requirements!$E$2:$E$588,$A30,Requirements!$J$2:$J$588,$C30)</f>
        <v>96</v>
      </c>
      <c r="F30" s="18" t="n">
        <f aca="false">COUNTIFS(Teachers!$E$2:$E$100,$A30,Teachers!$D$2:$D$100,$C30)</f>
        <v>3</v>
      </c>
      <c r="G30" s="18" t="n">
        <f aca="false">COUNTIFS(Teachers!$E$2:$E$100,$A30,Teachers!$D$2:$D$100,$C30,Teachers!$L$2:$L$100,"Active")</f>
        <v>3</v>
      </c>
      <c r="H30" s="18" t="n">
        <f aca="false">SUMIFS(Teachers!$I$2:$I$100,Teachers!$E$2:$E$100,$A30,Teachers!$D$2:$D$100,$C30)</f>
        <v>75</v>
      </c>
      <c r="I30" s="18" t="n">
        <f aca="false">SUMIFS(Teachers!$I$2:$I$100,Teachers!$E$2:$E$100,$A30,Teachers!$D$2:$D$100,$C30,Teachers!$L$2:$L$100,"Active")</f>
        <v>75</v>
      </c>
      <c r="J30" s="19" t="n">
        <f aca="false">I30-E30</f>
        <v>-21</v>
      </c>
      <c r="K30" s="20" t="n">
        <f aca="false">IF(I30=0,"n/a",E30/I30)</f>
        <v>1.28</v>
      </c>
      <c r="L30" s="21" t="n">
        <f aca="false">IF(G30=0,"n/a",ROUND(J30/(I30/G30),1))</f>
        <v>-0.8</v>
      </c>
      <c r="M30" s="22" t="str">
        <f aca="false">IF(I30=0,"NO TEACHER",IF(E30/I30&gt;1,"SHORTAGE",IF(E30/I30&gt;=$E$5,"TIGHT",IF(E30/I30&gt;=$E$6,"BALANCED","SURPLUS"))))</f>
        <v>SHORTAGE</v>
      </c>
    </row>
    <row r="31" customFormat="false" ht="15" hidden="false" customHeight="false" outlineLevel="0" collapsed="false">
      <c r="A31" s="8" t="s">
        <v>384</v>
      </c>
      <c r="B31" s="8" t="s">
        <v>385</v>
      </c>
      <c r="C31" s="8" t="s">
        <v>116</v>
      </c>
      <c r="D31" s="8" t="s">
        <v>73</v>
      </c>
      <c r="E31" s="18" t="n">
        <f aca="false">SUMIFS(Requirements!$G$2:$G$588,Requirements!$E$2:$E$588,$A31,Requirements!$J$2:$J$588,$C31)</f>
        <v>70</v>
      </c>
      <c r="F31" s="18" t="n">
        <f aca="false">COUNTIFS(Teachers!$E$2:$E$100,$A31,Teachers!$D$2:$D$100,$C31)</f>
        <v>3</v>
      </c>
      <c r="G31" s="18" t="n">
        <f aca="false">COUNTIFS(Teachers!$E$2:$E$100,$A31,Teachers!$D$2:$D$100,$C31,Teachers!$L$2:$L$100,"Active")</f>
        <v>3</v>
      </c>
      <c r="H31" s="18" t="n">
        <f aca="false">SUMIFS(Teachers!$I$2:$I$100,Teachers!$E$2:$E$100,$A31,Teachers!$D$2:$D$100,$C31)</f>
        <v>78</v>
      </c>
      <c r="I31" s="18" t="n">
        <f aca="false">SUMIFS(Teachers!$I$2:$I$100,Teachers!$E$2:$E$100,$A31,Teachers!$D$2:$D$100,$C31,Teachers!$L$2:$L$100,"Active")</f>
        <v>78</v>
      </c>
      <c r="J31" s="19" t="n">
        <f aca="false">I31-E31</f>
        <v>8</v>
      </c>
      <c r="K31" s="20" t="n">
        <f aca="false">IF(I31=0,"n/a",E31/I31)</f>
        <v>0.897435897435898</v>
      </c>
      <c r="L31" s="21" t="n">
        <f aca="false">IF(G31=0,"n/a",ROUND(J31/(I31/G31),1))</f>
        <v>0.3</v>
      </c>
      <c r="M31" s="22" t="str">
        <f aca="false">IF(I31=0,"NO TEACHER",IF(E31/I31&gt;1,"SHORTAGE",IF(E31/I31&gt;=$E$5,"TIGHT",IF(E31/I31&gt;=$E$6,"BALANCED","SURPLUS"))))</f>
        <v>BALANCED</v>
      </c>
    </row>
    <row r="32" customFormat="false" ht="15" hidden="false" customHeight="false" outlineLevel="0" collapsed="false">
      <c r="A32" s="8" t="s">
        <v>400</v>
      </c>
      <c r="B32" s="8" t="s">
        <v>401</v>
      </c>
      <c r="C32" s="8" t="s">
        <v>116</v>
      </c>
      <c r="D32" s="8" t="s">
        <v>73</v>
      </c>
      <c r="E32" s="18" t="n">
        <f aca="false">SUMIFS(Requirements!$G$2:$G$588,Requirements!$E$2:$E$588,$A32,Requirements!$J$2:$J$588,$C32)</f>
        <v>51</v>
      </c>
      <c r="F32" s="18" t="n">
        <f aca="false">COUNTIFS(Teachers!$E$2:$E$100,$A32,Teachers!$D$2:$D$100,$C32)</f>
        <v>2</v>
      </c>
      <c r="G32" s="18" t="n">
        <f aca="false">COUNTIFS(Teachers!$E$2:$E$100,$A32,Teachers!$D$2:$D$100,$C32,Teachers!$L$2:$L$100,"Active")</f>
        <v>1</v>
      </c>
      <c r="H32" s="18" t="n">
        <f aca="false">SUMIFS(Teachers!$I$2:$I$100,Teachers!$E$2:$E$100,$A32,Teachers!$D$2:$D$100,$C32)</f>
        <v>52</v>
      </c>
      <c r="I32" s="18" t="n">
        <f aca="false">SUMIFS(Teachers!$I$2:$I$100,Teachers!$E$2:$E$100,$A32,Teachers!$D$2:$D$100,$C32,Teachers!$L$2:$L$100,"Active")</f>
        <v>26</v>
      </c>
      <c r="J32" s="19" t="n">
        <f aca="false">I32-E32</f>
        <v>-25</v>
      </c>
      <c r="K32" s="20" t="n">
        <f aca="false">IF(I32=0,"n/a",E32/I32)</f>
        <v>1.96153846153846</v>
      </c>
      <c r="L32" s="21" t="n">
        <f aca="false">IF(G32=0,"n/a",ROUND(J32/(I32/G32),1))</f>
        <v>-1</v>
      </c>
      <c r="M32" s="22" t="str">
        <f aca="false">IF(I32=0,"NO TEACHER",IF(E32/I32&gt;1,"SHORTAGE",IF(E32/I32&gt;=$E$5,"TIGHT",IF(E32/I32&gt;=$E$6,"BALANCED","SURPLUS"))))</f>
        <v>SHORTAGE</v>
      </c>
    </row>
    <row r="33" customFormat="false" ht="15" hidden="false" customHeight="false" outlineLevel="0" collapsed="false">
      <c r="A33" s="8" t="s">
        <v>414</v>
      </c>
      <c r="B33" s="8" t="s">
        <v>415</v>
      </c>
      <c r="C33" s="8" t="s">
        <v>116</v>
      </c>
      <c r="D33" s="8" t="s">
        <v>73</v>
      </c>
      <c r="E33" s="18" t="n">
        <f aca="false">SUMIFS(Requirements!$G$2:$G$588,Requirements!$E$2:$E$588,$A33,Requirements!$J$2:$J$588,$C33)</f>
        <v>21</v>
      </c>
      <c r="F33" s="18" t="n">
        <f aca="false">COUNTIFS(Teachers!$E$2:$E$100,$A33,Teachers!$D$2:$D$100,$C33)</f>
        <v>1</v>
      </c>
      <c r="G33" s="18" t="n">
        <f aca="false">COUNTIFS(Teachers!$E$2:$E$100,$A33,Teachers!$D$2:$D$100,$C33,Teachers!$L$2:$L$100,"Active")</f>
        <v>1</v>
      </c>
      <c r="H33" s="18" t="n">
        <f aca="false">SUMIFS(Teachers!$I$2:$I$100,Teachers!$E$2:$E$100,$A33,Teachers!$D$2:$D$100,$C33)</f>
        <v>26</v>
      </c>
      <c r="I33" s="18" t="n">
        <f aca="false">SUMIFS(Teachers!$I$2:$I$100,Teachers!$E$2:$E$100,$A33,Teachers!$D$2:$D$100,$C33,Teachers!$L$2:$L$100,"Active")</f>
        <v>26</v>
      </c>
      <c r="J33" s="19" t="n">
        <f aca="false">I33-E33</f>
        <v>5</v>
      </c>
      <c r="K33" s="20" t="n">
        <f aca="false">IF(I33=0,"n/a",E33/I33)</f>
        <v>0.807692307692308</v>
      </c>
      <c r="L33" s="21" t="n">
        <f aca="false">IF(G33=0,"n/a",ROUND(J33/(I33/G33),1))</f>
        <v>0.2</v>
      </c>
      <c r="M33" s="22" t="str">
        <f aca="false">IF(I33=0,"NO TEACHER",IF(E33/I33&gt;1,"SHORTAGE",IF(E33/I33&gt;=$E$5,"TIGHT",IF(E33/I33&gt;=$E$6,"BALANCED","SURPLUS"))))</f>
        <v>BALANCED</v>
      </c>
    </row>
    <row r="34" customFormat="false" ht="15" hidden="false" customHeight="false" outlineLevel="0" collapsed="false">
      <c r="A34" s="8" t="s">
        <v>421</v>
      </c>
      <c r="B34" s="8" t="s">
        <v>422</v>
      </c>
      <c r="C34" s="8" t="s">
        <v>116</v>
      </c>
      <c r="D34" s="8" t="s">
        <v>73</v>
      </c>
      <c r="E34" s="18" t="n">
        <f aca="false">SUMIFS(Requirements!$G$2:$G$588,Requirements!$E$2:$E$588,$A34,Requirements!$J$2:$J$588,$C34)</f>
        <v>45</v>
      </c>
      <c r="F34" s="18" t="n">
        <f aca="false">COUNTIFS(Teachers!$E$2:$E$100,$A34,Teachers!$D$2:$D$100,$C34)</f>
        <v>1</v>
      </c>
      <c r="G34" s="18" t="n">
        <f aca="false">COUNTIFS(Teachers!$E$2:$E$100,$A34,Teachers!$D$2:$D$100,$C34,Teachers!$L$2:$L$100,"Active")</f>
        <v>1</v>
      </c>
      <c r="H34" s="18" t="n">
        <f aca="false">SUMIFS(Teachers!$I$2:$I$100,Teachers!$E$2:$E$100,$A34,Teachers!$D$2:$D$100,$C34)</f>
        <v>26</v>
      </c>
      <c r="I34" s="18" t="n">
        <f aca="false">SUMIFS(Teachers!$I$2:$I$100,Teachers!$E$2:$E$100,$A34,Teachers!$D$2:$D$100,$C34,Teachers!$L$2:$L$100,"Active")</f>
        <v>26</v>
      </c>
      <c r="J34" s="19" t="n">
        <f aca="false">I34-E34</f>
        <v>-19</v>
      </c>
      <c r="K34" s="20" t="n">
        <f aca="false">IF(I34=0,"n/a",E34/I34)</f>
        <v>1.73076923076923</v>
      </c>
      <c r="L34" s="21" t="n">
        <f aca="false">IF(G34=0,"n/a",ROUND(J34/(I34/G34),1))</f>
        <v>-0.7</v>
      </c>
      <c r="M34" s="22" t="str">
        <f aca="false">IF(I34=0,"NO TEACHER",IF(E34/I34&gt;1,"SHORTAGE",IF(E34/I34&gt;=$E$5,"TIGHT",IF(E34/I34&gt;=$E$6,"BALANCED","SURPLUS"))))</f>
        <v>SHORTAGE</v>
      </c>
    </row>
    <row r="35" customFormat="false" ht="15" hidden="false" customHeight="false" outlineLevel="0" collapsed="false">
      <c r="A35" s="8" t="s">
        <v>427</v>
      </c>
      <c r="B35" s="8" t="s">
        <v>428</v>
      </c>
      <c r="C35" s="8" t="s">
        <v>116</v>
      </c>
      <c r="D35" s="8" t="s">
        <v>73</v>
      </c>
      <c r="E35" s="18" t="n">
        <f aca="false">SUMIFS(Requirements!$G$2:$G$588,Requirements!$E$2:$E$588,$A35,Requirements!$J$2:$J$588,$C35)</f>
        <v>45</v>
      </c>
      <c r="F35" s="18" t="n">
        <f aca="false">COUNTIFS(Teachers!$E$2:$E$100,$A35,Teachers!$D$2:$D$100,$C35)</f>
        <v>2</v>
      </c>
      <c r="G35" s="18" t="n">
        <f aca="false">COUNTIFS(Teachers!$E$2:$E$100,$A35,Teachers!$D$2:$D$100,$C35,Teachers!$L$2:$L$100,"Active")</f>
        <v>2</v>
      </c>
      <c r="H35" s="18" t="n">
        <f aca="false">SUMIFS(Teachers!$I$2:$I$100,Teachers!$E$2:$E$100,$A35,Teachers!$D$2:$D$100,$C35)</f>
        <v>52</v>
      </c>
      <c r="I35" s="18" t="n">
        <f aca="false">SUMIFS(Teachers!$I$2:$I$100,Teachers!$E$2:$E$100,$A35,Teachers!$D$2:$D$100,$C35,Teachers!$L$2:$L$100,"Active")</f>
        <v>52</v>
      </c>
      <c r="J35" s="19" t="n">
        <f aca="false">I35-E35</f>
        <v>7</v>
      </c>
      <c r="K35" s="20" t="n">
        <f aca="false">IF(I35=0,"n/a",E35/I35)</f>
        <v>0.865384615384615</v>
      </c>
      <c r="L35" s="21" t="n">
        <f aca="false">IF(G35=0,"n/a",ROUND(J35/(I35/G35),1))</f>
        <v>0.3</v>
      </c>
      <c r="M35" s="22" t="str">
        <f aca="false">IF(I35=0,"NO TEACHER",IF(E35/I35&gt;1,"SHORTAGE",IF(E35/I35&gt;=$E$5,"TIGHT",IF(E35/I35&gt;=$E$6,"BALANCED","SURPLUS"))))</f>
        <v>BALANCED</v>
      </c>
    </row>
    <row r="36" customFormat="false" ht="15" hidden="false" customHeight="false" outlineLevel="0" collapsed="false">
      <c r="A36" s="8" t="s">
        <v>430</v>
      </c>
      <c r="B36" s="8" t="s">
        <v>431</v>
      </c>
      <c r="C36" s="8" t="s">
        <v>116</v>
      </c>
      <c r="D36" s="8" t="s">
        <v>73</v>
      </c>
      <c r="E36" s="18" t="n">
        <f aca="false">SUMIFS(Requirements!$G$2:$G$588,Requirements!$E$2:$E$588,$A36,Requirements!$J$2:$J$588,$C36)</f>
        <v>20</v>
      </c>
      <c r="F36" s="18" t="n">
        <f aca="false">COUNTIFS(Teachers!$E$2:$E$100,$A36,Teachers!$D$2:$D$100,$C36)</f>
        <v>1</v>
      </c>
      <c r="G36" s="18" t="n">
        <f aca="false">COUNTIFS(Teachers!$E$2:$E$100,$A36,Teachers!$D$2:$D$100,$C36,Teachers!$L$2:$L$100,"Active")</f>
        <v>1</v>
      </c>
      <c r="H36" s="18" t="n">
        <f aca="false">SUMIFS(Teachers!$I$2:$I$100,Teachers!$E$2:$E$100,$A36,Teachers!$D$2:$D$100,$C36)</f>
        <v>26</v>
      </c>
      <c r="I36" s="18" t="n">
        <f aca="false">SUMIFS(Teachers!$I$2:$I$100,Teachers!$E$2:$E$100,$A36,Teachers!$D$2:$D$100,$C36,Teachers!$L$2:$L$100,"Active")</f>
        <v>26</v>
      </c>
      <c r="J36" s="19" t="n">
        <f aca="false">I36-E36</f>
        <v>6</v>
      </c>
      <c r="K36" s="20" t="n">
        <f aca="false">IF(I36=0,"n/a",E36/I36)</f>
        <v>0.769230769230769</v>
      </c>
      <c r="L36" s="21" t="n">
        <f aca="false">IF(G36=0,"n/a",ROUND(J36/(I36/G36),1))</f>
        <v>0.2</v>
      </c>
      <c r="M36" s="22" t="str">
        <f aca="false">IF(I36=0,"NO TEACHER",IF(E36/I36&gt;1,"SHORTAGE",IF(E36/I36&gt;=$E$5,"TIGHT",IF(E36/I36&gt;=$E$6,"BALANCED","SURPLUS"))))</f>
        <v>BALANCED</v>
      </c>
    </row>
    <row r="37" customFormat="false" ht="15" hidden="false" customHeight="false" outlineLevel="0" collapsed="false">
      <c r="A37" s="8" t="s">
        <v>434</v>
      </c>
      <c r="B37" s="8" t="s">
        <v>435</v>
      </c>
      <c r="C37" s="8" t="s">
        <v>116</v>
      </c>
      <c r="D37" s="8" t="s">
        <v>73</v>
      </c>
      <c r="E37" s="18" t="n">
        <f aca="false">SUMIFS(Requirements!$G$2:$G$588,Requirements!$E$2:$E$588,$A37,Requirements!$J$2:$J$588,$C37)</f>
        <v>14</v>
      </c>
      <c r="F37" s="18" t="n">
        <f aca="false">COUNTIFS(Teachers!$E$2:$E$100,$A37,Teachers!$D$2:$D$100,$C37)</f>
        <v>1</v>
      </c>
      <c r="G37" s="18" t="n">
        <f aca="false">COUNTIFS(Teachers!$E$2:$E$100,$A37,Teachers!$D$2:$D$100,$C37,Teachers!$L$2:$L$100,"Active")</f>
        <v>1</v>
      </c>
      <c r="H37" s="18" t="n">
        <f aca="false">SUMIFS(Teachers!$I$2:$I$100,Teachers!$E$2:$E$100,$A37,Teachers!$D$2:$D$100,$C37)</f>
        <v>15</v>
      </c>
      <c r="I37" s="18" t="n">
        <f aca="false">SUMIFS(Teachers!$I$2:$I$100,Teachers!$E$2:$E$100,$A37,Teachers!$D$2:$D$100,$C37,Teachers!$L$2:$L$100,"Active")</f>
        <v>15</v>
      </c>
      <c r="J37" s="19" t="n">
        <f aca="false">I37-E37</f>
        <v>1</v>
      </c>
      <c r="K37" s="20" t="n">
        <f aca="false">IF(I37=0,"n/a",E37/I37)</f>
        <v>0.933333333333333</v>
      </c>
      <c r="L37" s="21" t="n">
        <f aca="false">IF(G37=0,"n/a",ROUND(J37/(I37/G37),1))</f>
        <v>0.1</v>
      </c>
      <c r="M37" s="22" t="str">
        <f aca="false">IF(I37=0,"NO TEACHER",IF(E37/I37&gt;1,"SHORTAGE",IF(E37/I37&gt;=$E$5,"TIGHT",IF(E37/I37&gt;=$E$6,"BALANCED","SURPLUS"))))</f>
        <v>TIGHT</v>
      </c>
    </row>
    <row r="38" customFormat="false" ht="15" hidden="false" customHeight="false" outlineLevel="0" collapsed="false">
      <c r="A38" s="8" t="s">
        <v>437</v>
      </c>
      <c r="B38" s="8" t="s">
        <v>438</v>
      </c>
      <c r="C38" s="8" t="s">
        <v>116</v>
      </c>
      <c r="D38" s="8" t="s">
        <v>73</v>
      </c>
      <c r="E38" s="18" t="n">
        <f aca="false">SUMIFS(Requirements!$G$2:$G$588,Requirements!$E$2:$E$588,$A38,Requirements!$J$2:$J$588,$C38)</f>
        <v>30</v>
      </c>
      <c r="F38" s="18" t="n">
        <f aca="false">COUNTIFS(Teachers!$E$2:$E$100,$A38,Teachers!$D$2:$D$100,$C38)</f>
        <v>1</v>
      </c>
      <c r="G38" s="18" t="n">
        <f aca="false">COUNTIFS(Teachers!$E$2:$E$100,$A38,Teachers!$D$2:$D$100,$C38,Teachers!$L$2:$L$100,"Active")</f>
        <v>1</v>
      </c>
      <c r="H38" s="18" t="n">
        <f aca="false">SUMIFS(Teachers!$I$2:$I$100,Teachers!$E$2:$E$100,$A38,Teachers!$D$2:$D$100,$C38)</f>
        <v>26</v>
      </c>
      <c r="I38" s="18" t="n">
        <f aca="false">SUMIFS(Teachers!$I$2:$I$100,Teachers!$E$2:$E$100,$A38,Teachers!$D$2:$D$100,$C38,Teachers!$L$2:$L$100,"Active")</f>
        <v>26</v>
      </c>
      <c r="J38" s="19" t="n">
        <f aca="false">I38-E38</f>
        <v>-4</v>
      </c>
      <c r="K38" s="20" t="n">
        <f aca="false">IF(I38=0,"n/a",E38/I38)</f>
        <v>1.15384615384615</v>
      </c>
      <c r="L38" s="21" t="n">
        <f aca="false">IF(G38=0,"n/a",ROUND(J38/(I38/G38),1))</f>
        <v>-0.2</v>
      </c>
      <c r="M38" s="22" t="str">
        <f aca="false">IF(I38=0,"NO TEACHER",IF(E38/I38&gt;1,"SHORTAGE",IF(E38/I38&gt;=$E$5,"TIGHT",IF(E38/I38&gt;=$E$6,"BALANCED","SURPLUS"))))</f>
        <v>SHORTAGE</v>
      </c>
    </row>
    <row r="39" customFormat="false" ht="15" hidden="false" customHeight="false" outlineLevel="0" collapsed="false">
      <c r="A39" s="8" t="s">
        <v>440</v>
      </c>
      <c r="B39" s="8" t="s">
        <v>441</v>
      </c>
      <c r="C39" s="8" t="s">
        <v>116</v>
      </c>
      <c r="D39" s="8" t="s">
        <v>73</v>
      </c>
      <c r="E39" s="18" t="n">
        <f aca="false">SUMIFS(Requirements!$G$2:$G$588,Requirements!$E$2:$E$588,$A39,Requirements!$J$2:$J$588,$C39)</f>
        <v>27</v>
      </c>
      <c r="F39" s="18" t="n">
        <f aca="false">COUNTIFS(Teachers!$E$2:$E$100,$A39,Teachers!$D$2:$D$100,$C39)</f>
        <v>1</v>
      </c>
      <c r="G39" s="18" t="n">
        <f aca="false">COUNTIFS(Teachers!$E$2:$E$100,$A39,Teachers!$D$2:$D$100,$C39,Teachers!$L$2:$L$100,"Active")</f>
        <v>1</v>
      </c>
      <c r="H39" s="18" t="n">
        <f aca="false">SUMIFS(Teachers!$I$2:$I$100,Teachers!$E$2:$E$100,$A39,Teachers!$D$2:$D$100,$C39)</f>
        <v>26</v>
      </c>
      <c r="I39" s="18" t="n">
        <f aca="false">SUMIFS(Teachers!$I$2:$I$100,Teachers!$E$2:$E$100,$A39,Teachers!$D$2:$D$100,$C39,Teachers!$L$2:$L$100,"Active")</f>
        <v>26</v>
      </c>
      <c r="J39" s="19" t="n">
        <f aca="false">I39-E39</f>
        <v>-1</v>
      </c>
      <c r="K39" s="20" t="n">
        <f aca="false">IF(I39=0,"n/a",E39/I39)</f>
        <v>1.03846153846154</v>
      </c>
      <c r="L39" s="21" t="n">
        <f aca="false">IF(G39=0,"n/a",ROUND(J39/(I39/G39),1))</f>
        <v>-0</v>
      </c>
      <c r="M39" s="22" t="str">
        <f aca="false">IF(I39=0,"NO TEACHER",IF(E39/I39&gt;1,"SHORTAGE",IF(E39/I39&gt;=$E$5,"TIGHT",IF(E39/I39&gt;=$E$6,"BALANCED","SURPLUS"))))</f>
        <v>SHORTAGE</v>
      </c>
    </row>
    <row r="40" customFormat="false" ht="15" hidden="false" customHeight="false" outlineLevel="0" collapsed="false">
      <c r="A40" s="8" t="s">
        <v>442</v>
      </c>
      <c r="B40" s="8" t="s">
        <v>443</v>
      </c>
      <c r="C40" s="8" t="s">
        <v>116</v>
      </c>
      <c r="D40" s="8" t="s">
        <v>73</v>
      </c>
      <c r="E40" s="18" t="n">
        <f aca="false">SUMIFS(Requirements!$G$2:$G$588,Requirements!$E$2:$E$588,$A40,Requirements!$J$2:$J$588,$C40)</f>
        <v>43</v>
      </c>
      <c r="F40" s="18" t="n">
        <f aca="false">COUNTIFS(Teachers!$E$2:$E$100,$A40,Teachers!$D$2:$D$100,$C40)</f>
        <v>2</v>
      </c>
      <c r="G40" s="18" t="n">
        <f aca="false">COUNTIFS(Teachers!$E$2:$E$100,$A40,Teachers!$D$2:$D$100,$C40,Teachers!$L$2:$L$100,"Active")</f>
        <v>2</v>
      </c>
      <c r="H40" s="18" t="n">
        <f aca="false">SUMIFS(Teachers!$I$2:$I$100,Teachers!$E$2:$E$100,$A40,Teachers!$D$2:$D$100,$C40)</f>
        <v>52</v>
      </c>
      <c r="I40" s="18" t="n">
        <f aca="false">SUMIFS(Teachers!$I$2:$I$100,Teachers!$E$2:$E$100,$A40,Teachers!$D$2:$D$100,$C40,Teachers!$L$2:$L$100,"Active")</f>
        <v>52</v>
      </c>
      <c r="J40" s="19" t="n">
        <f aca="false">I40-E40</f>
        <v>9</v>
      </c>
      <c r="K40" s="20" t="n">
        <f aca="false">IF(I40=0,"n/a",E40/I40)</f>
        <v>0.826923076923077</v>
      </c>
      <c r="L40" s="21" t="n">
        <f aca="false">IF(G40=0,"n/a",ROUND(J40/(I40/G40),1))</f>
        <v>0.3</v>
      </c>
      <c r="M40" s="22" t="str">
        <f aca="false">IF(I40=0,"NO TEACHER",IF(E40/I40&gt;1,"SHORTAGE",IF(E40/I40&gt;=$E$5,"TIGHT",IF(E40/I40&gt;=$E$6,"BALANCED","SURPLUS"))))</f>
        <v>BALANCED</v>
      </c>
    </row>
    <row r="41" customFormat="false" ht="15" hidden="false" customHeight="false" outlineLevel="0" collapsed="false">
      <c r="A41" s="8" t="s">
        <v>446</v>
      </c>
      <c r="B41" s="8" t="s">
        <v>447</v>
      </c>
      <c r="C41" s="8" t="s">
        <v>116</v>
      </c>
      <c r="D41" s="8" t="s">
        <v>73</v>
      </c>
      <c r="E41" s="18" t="n">
        <f aca="false">SUMIFS(Requirements!$G$2:$G$588,Requirements!$E$2:$E$588,$A41,Requirements!$J$2:$J$588,$C41)</f>
        <v>18</v>
      </c>
      <c r="F41" s="18" t="n">
        <f aca="false">COUNTIFS(Teachers!$E$2:$E$100,$A41,Teachers!$D$2:$D$100,$C41)</f>
        <v>2</v>
      </c>
      <c r="G41" s="18" t="n">
        <f aca="false">COUNTIFS(Teachers!$E$2:$E$100,$A41,Teachers!$D$2:$D$100,$C41,Teachers!$L$2:$L$100,"Active")</f>
        <v>2</v>
      </c>
      <c r="H41" s="18" t="n">
        <f aca="false">SUMIFS(Teachers!$I$2:$I$100,Teachers!$E$2:$E$100,$A41,Teachers!$D$2:$D$100,$C41)</f>
        <v>52</v>
      </c>
      <c r="I41" s="18" t="n">
        <f aca="false">SUMIFS(Teachers!$I$2:$I$100,Teachers!$E$2:$E$100,$A41,Teachers!$D$2:$D$100,$C41,Teachers!$L$2:$L$100,"Active")</f>
        <v>52</v>
      </c>
      <c r="J41" s="19" t="n">
        <f aca="false">I41-E41</f>
        <v>34</v>
      </c>
      <c r="K41" s="20" t="n">
        <f aca="false">IF(I41=0,"n/a",E41/I41)</f>
        <v>0.346153846153846</v>
      </c>
      <c r="L41" s="21" t="n">
        <f aca="false">IF(G41=0,"n/a",ROUND(J41/(I41/G41),1))</f>
        <v>1.3</v>
      </c>
      <c r="M41" s="22" t="str">
        <f aca="false">IF(I41=0,"NO TEACHER",IF(E41/I41&gt;1,"SHORTAGE",IF(E41/I41&gt;=$E$5,"TIGHT",IF(E41/I41&gt;=$E$6,"BALANCED","SURPLUS"))))</f>
        <v>SURPLUS</v>
      </c>
    </row>
    <row r="42" customFormat="false" ht="15" hidden="false" customHeight="false" outlineLevel="0" collapsed="false">
      <c r="A42" s="8" t="s">
        <v>449</v>
      </c>
      <c r="B42" s="8" t="s">
        <v>450</v>
      </c>
      <c r="C42" s="8" t="s">
        <v>116</v>
      </c>
      <c r="D42" s="8" t="s">
        <v>73</v>
      </c>
      <c r="E42" s="18" t="n">
        <f aca="false">SUMIFS(Requirements!$G$2:$G$588,Requirements!$E$2:$E$588,$A42,Requirements!$J$2:$J$588,$C42)</f>
        <v>18</v>
      </c>
      <c r="F42" s="18" t="n">
        <f aca="false">COUNTIFS(Teachers!$E$2:$E$100,$A42,Teachers!$D$2:$D$100,$C42)</f>
        <v>1</v>
      </c>
      <c r="G42" s="18" t="n">
        <f aca="false">COUNTIFS(Teachers!$E$2:$E$100,$A42,Teachers!$D$2:$D$100,$C42,Teachers!$L$2:$L$100,"Active")</f>
        <v>1</v>
      </c>
      <c r="H42" s="18" t="n">
        <f aca="false">SUMIFS(Teachers!$I$2:$I$100,Teachers!$E$2:$E$100,$A42,Teachers!$D$2:$D$100,$C42)</f>
        <v>26</v>
      </c>
      <c r="I42" s="18" t="n">
        <f aca="false">SUMIFS(Teachers!$I$2:$I$100,Teachers!$E$2:$E$100,$A42,Teachers!$D$2:$D$100,$C42,Teachers!$L$2:$L$100,"Active")</f>
        <v>26</v>
      </c>
      <c r="J42" s="19" t="n">
        <f aca="false">I42-E42</f>
        <v>8</v>
      </c>
      <c r="K42" s="20" t="n">
        <f aca="false">IF(I42=0,"n/a",E42/I42)</f>
        <v>0.692307692307692</v>
      </c>
      <c r="L42" s="21" t="n">
        <f aca="false">IF(G42=0,"n/a",ROUND(J42/(I42/G42),1))</f>
        <v>0.3</v>
      </c>
      <c r="M42" s="22" t="str">
        <f aca="false">IF(I42=0,"NO TEACHER",IF(E42/I42&gt;1,"SHORTAGE",IF(E42/I42&gt;=$E$5,"TIGHT",IF(E42/I42&gt;=$E$6,"BALANCED","SURPLUS"))))</f>
        <v>BALANCED</v>
      </c>
    </row>
    <row r="43" customFormat="false" ht="15" hidden="false" customHeight="false" outlineLevel="0" collapsed="false">
      <c r="A43" s="8" t="s">
        <v>451</v>
      </c>
      <c r="B43" s="8" t="s">
        <v>452</v>
      </c>
      <c r="C43" s="8" t="s">
        <v>116</v>
      </c>
      <c r="D43" s="8" t="s">
        <v>73</v>
      </c>
      <c r="E43" s="18" t="n">
        <f aca="false">SUMIFS(Requirements!$G$2:$G$588,Requirements!$E$2:$E$588,$A43,Requirements!$J$2:$J$588,$C43)</f>
        <v>18</v>
      </c>
      <c r="F43" s="18" t="n">
        <f aca="false">COUNTIFS(Teachers!$E$2:$E$100,$A43,Teachers!$D$2:$D$100,$C43)</f>
        <v>1</v>
      </c>
      <c r="G43" s="18" t="n">
        <f aca="false">COUNTIFS(Teachers!$E$2:$E$100,$A43,Teachers!$D$2:$D$100,$C43,Teachers!$L$2:$L$100,"Active")</f>
        <v>1</v>
      </c>
      <c r="H43" s="18" t="n">
        <f aca="false">SUMIFS(Teachers!$I$2:$I$100,Teachers!$E$2:$E$100,$A43,Teachers!$D$2:$D$100,$C43)</f>
        <v>26</v>
      </c>
      <c r="I43" s="18" t="n">
        <f aca="false">SUMIFS(Teachers!$I$2:$I$100,Teachers!$E$2:$E$100,$A43,Teachers!$D$2:$D$100,$C43,Teachers!$L$2:$L$100,"Active")</f>
        <v>26</v>
      </c>
      <c r="J43" s="19" t="n">
        <f aca="false">I43-E43</f>
        <v>8</v>
      </c>
      <c r="K43" s="20" t="n">
        <f aca="false">IF(I43=0,"n/a",E43/I43)</f>
        <v>0.692307692307692</v>
      </c>
      <c r="L43" s="21" t="n">
        <f aca="false">IF(G43=0,"n/a",ROUND(J43/(I43/G43),1))</f>
        <v>0.3</v>
      </c>
      <c r="M43" s="22" t="str">
        <f aca="false">IF(I43=0,"NO TEACHER",IF(E43/I43&gt;1,"SHORTAGE",IF(E43/I43&gt;=$E$5,"TIGHT",IF(E43/I43&gt;=$E$6,"BALANCED","SURPLUS"))))</f>
        <v>BALANCED</v>
      </c>
    </row>
    <row r="44" customFormat="false" ht="15" hidden="false" customHeight="false" outlineLevel="0" collapsed="false">
      <c r="A44" s="8" t="s">
        <v>453</v>
      </c>
      <c r="B44" s="8" t="s">
        <v>454</v>
      </c>
      <c r="C44" s="8" t="s">
        <v>118</v>
      </c>
      <c r="D44" s="8" t="s">
        <v>1344</v>
      </c>
      <c r="E44" s="18" t="n">
        <f aca="false">SUMIFS(Requirements!$G$2:$G$588,Requirements!$E$2:$E$588,$A44,Requirements!$J$2:$J$588,$C44)</f>
        <v>104</v>
      </c>
      <c r="F44" s="18" t="n">
        <f aca="false">COUNTIFS(Teachers!$E$2:$E$100,$A44,Teachers!$D$2:$D$100,$C44)</f>
        <v>4</v>
      </c>
      <c r="G44" s="18" t="n">
        <f aca="false">COUNTIFS(Teachers!$E$2:$E$100,$A44,Teachers!$D$2:$D$100,$C44,Teachers!$L$2:$L$100,"Active")</f>
        <v>4</v>
      </c>
      <c r="H44" s="18" t="n">
        <f aca="false">SUMIFS(Teachers!$I$2:$I$100,Teachers!$E$2:$E$100,$A44,Teachers!$D$2:$D$100,$C44)</f>
        <v>120</v>
      </c>
      <c r="I44" s="18" t="n">
        <f aca="false">SUMIFS(Teachers!$I$2:$I$100,Teachers!$E$2:$E$100,$A44,Teachers!$D$2:$D$100,$C44,Teachers!$L$2:$L$100,"Active")</f>
        <v>120</v>
      </c>
      <c r="J44" s="19" t="n">
        <f aca="false">I44-E44</f>
        <v>16</v>
      </c>
      <c r="K44" s="20" t="n">
        <f aca="false">IF(I44=0,"n/a",E44/I44)</f>
        <v>0.866666666666667</v>
      </c>
      <c r="L44" s="21" t="n">
        <f aca="false">IF(G44=0,"n/a",ROUND(J44/(I44/G44),1))</f>
        <v>0.5</v>
      </c>
      <c r="M44" s="22" t="str">
        <f aca="false">IF(I44=0,"NO TEACHER",IF(E44/I44&gt;1,"SHORTAGE",IF(E44/I44&gt;=$E$5,"TIGHT",IF(E44/I44&gt;=$E$6,"BALANCED","SURPLUS"))))</f>
        <v>BALANCED</v>
      </c>
    </row>
    <row r="45" customFormat="false" ht="15" hidden="false" customHeight="false" outlineLevel="0" collapsed="false">
      <c r="A45" s="8" t="s">
        <v>458</v>
      </c>
      <c r="B45" s="8" t="s">
        <v>459</v>
      </c>
      <c r="C45" s="8" t="s">
        <v>118</v>
      </c>
      <c r="D45" s="8" t="s">
        <v>1344</v>
      </c>
      <c r="E45" s="18" t="n">
        <f aca="false">SUMIFS(Requirements!$G$2:$G$588,Requirements!$E$2:$E$588,$A45,Requirements!$J$2:$J$588,$C45)</f>
        <v>51</v>
      </c>
      <c r="F45" s="18" t="n">
        <f aca="false">COUNTIFS(Teachers!$E$2:$E$100,$A45,Teachers!$D$2:$D$100,$C45)</f>
        <v>2</v>
      </c>
      <c r="G45" s="18" t="n">
        <f aca="false">COUNTIFS(Teachers!$E$2:$E$100,$A45,Teachers!$D$2:$D$100,$C45,Teachers!$L$2:$L$100,"Active")</f>
        <v>2</v>
      </c>
      <c r="H45" s="18" t="n">
        <f aca="false">SUMIFS(Teachers!$I$2:$I$100,Teachers!$E$2:$E$100,$A45,Teachers!$D$2:$D$100,$C45)</f>
        <v>40</v>
      </c>
      <c r="I45" s="18" t="n">
        <f aca="false">SUMIFS(Teachers!$I$2:$I$100,Teachers!$E$2:$E$100,$A45,Teachers!$D$2:$D$100,$C45,Teachers!$L$2:$L$100,"Active")</f>
        <v>40</v>
      </c>
      <c r="J45" s="19" t="n">
        <f aca="false">I45-E45</f>
        <v>-11</v>
      </c>
      <c r="K45" s="20" t="n">
        <f aca="false">IF(I45=0,"n/a",E45/I45)</f>
        <v>1.275</v>
      </c>
      <c r="L45" s="21" t="n">
        <f aca="false">IF(G45=0,"n/a",ROUND(J45/(I45/G45),1))</f>
        <v>-0.6</v>
      </c>
      <c r="M45" s="22" t="str">
        <f aca="false">IF(I45=0,"NO TEACHER",IF(E45/I45&gt;1,"SHORTAGE",IF(E45/I45&gt;=$E$5,"TIGHT",IF(E45/I45&gt;=$E$6,"BALANCED","SURPLUS"))))</f>
        <v>SHORTAGE</v>
      </c>
    </row>
    <row r="46" customFormat="false" ht="15" hidden="false" customHeight="false" outlineLevel="0" collapsed="false">
      <c r="A46" s="8" t="s">
        <v>463</v>
      </c>
      <c r="B46" s="8" t="s">
        <v>464</v>
      </c>
      <c r="C46" s="8" t="s">
        <v>118</v>
      </c>
      <c r="D46" s="8" t="s">
        <v>1344</v>
      </c>
      <c r="E46" s="18" t="n">
        <f aca="false">SUMIFS(Requirements!$G$2:$G$588,Requirements!$E$2:$E$588,$A46,Requirements!$J$2:$J$588,$C46)</f>
        <v>30</v>
      </c>
      <c r="F46" s="18" t="n">
        <f aca="false">COUNTIFS(Teachers!$E$2:$E$100,$A46,Teachers!$D$2:$D$100,$C46)</f>
        <v>1</v>
      </c>
      <c r="G46" s="18" t="n">
        <f aca="false">COUNTIFS(Teachers!$E$2:$E$100,$A46,Teachers!$D$2:$D$100,$C46,Teachers!$L$2:$L$100,"Active")</f>
        <v>1</v>
      </c>
      <c r="H46" s="18" t="n">
        <f aca="false">SUMIFS(Teachers!$I$2:$I$100,Teachers!$E$2:$E$100,$A46,Teachers!$D$2:$D$100,$C46)</f>
        <v>12</v>
      </c>
      <c r="I46" s="18" t="n">
        <f aca="false">SUMIFS(Teachers!$I$2:$I$100,Teachers!$E$2:$E$100,$A46,Teachers!$D$2:$D$100,$C46,Teachers!$L$2:$L$100,"Active")</f>
        <v>12</v>
      </c>
      <c r="J46" s="19" t="n">
        <f aca="false">I46-E46</f>
        <v>-18</v>
      </c>
      <c r="K46" s="20" t="n">
        <f aca="false">IF(I46=0,"n/a",E46/I46)</f>
        <v>2.5</v>
      </c>
      <c r="L46" s="21" t="n">
        <f aca="false">IF(G46=0,"n/a",ROUND(J46/(I46/G46),1))</f>
        <v>-1.5</v>
      </c>
      <c r="M46" s="22" t="str">
        <f aca="false">IF(I46=0,"NO TEACHER",IF(E46/I46&gt;1,"SHORTAGE",IF(E46/I46&gt;=$E$5,"TIGHT",IF(E46/I46&gt;=$E$6,"BALANCED","SURPLUS"))))</f>
        <v>SHORTAGE</v>
      </c>
    </row>
    <row r="47" customFormat="false" ht="15" hidden="false" customHeight="false" outlineLevel="0" collapsed="false">
      <c r="A47" s="8" t="s">
        <v>468</v>
      </c>
      <c r="B47" s="8" t="s">
        <v>469</v>
      </c>
      <c r="C47" s="8" t="s">
        <v>118</v>
      </c>
      <c r="D47" s="8" t="s">
        <v>1344</v>
      </c>
      <c r="E47" s="18" t="n">
        <f aca="false">SUMIFS(Requirements!$G$2:$G$588,Requirements!$E$2:$E$588,$A47,Requirements!$J$2:$J$588,$C47)</f>
        <v>201</v>
      </c>
      <c r="F47" s="18" t="n">
        <f aca="false">COUNTIFS(Teachers!$E$2:$E$100,$A47,Teachers!$D$2:$D$100,$C47)</f>
        <v>9</v>
      </c>
      <c r="G47" s="18" t="n">
        <f aca="false">COUNTIFS(Teachers!$E$2:$E$100,$A47,Teachers!$D$2:$D$100,$C47,Teachers!$L$2:$L$100,"Active")</f>
        <v>9</v>
      </c>
      <c r="H47" s="18" t="n">
        <f aca="false">SUMIFS(Teachers!$I$2:$I$100,Teachers!$E$2:$E$100,$A47,Teachers!$D$2:$D$100,$C47)</f>
        <v>270</v>
      </c>
      <c r="I47" s="18" t="n">
        <f aca="false">SUMIFS(Teachers!$I$2:$I$100,Teachers!$E$2:$E$100,$A47,Teachers!$D$2:$D$100,$C47,Teachers!$L$2:$L$100,"Active")</f>
        <v>270</v>
      </c>
      <c r="J47" s="19" t="n">
        <f aca="false">I47-E47</f>
        <v>69</v>
      </c>
      <c r="K47" s="20" t="n">
        <f aca="false">IF(I47=0,"n/a",E47/I47)</f>
        <v>0.744444444444445</v>
      </c>
      <c r="L47" s="21" t="n">
        <f aca="false">IF(G47=0,"n/a",ROUND(J47/(I47/G47),1))</f>
        <v>2.3</v>
      </c>
      <c r="M47" s="22" t="str">
        <f aca="false">IF(I47=0,"NO TEACHER",IF(E47/I47&gt;1,"SHORTAGE",IF(E47/I47&gt;=$E$5,"TIGHT",IF(E47/I47&gt;=$E$6,"BALANCED","SURPLUS"))))</f>
        <v>BALANCED</v>
      </c>
    </row>
    <row r="48" customFormat="false" ht="15" hidden="false" customHeight="false" outlineLevel="0" collapsed="false">
      <c r="A48" s="8" t="s">
        <v>472</v>
      </c>
      <c r="B48" s="8" t="s">
        <v>473</v>
      </c>
      <c r="C48" s="8" t="s">
        <v>118</v>
      </c>
      <c r="D48" s="8" t="s">
        <v>1344</v>
      </c>
      <c r="E48" s="18" t="n">
        <f aca="false">SUMIFS(Requirements!$G$2:$G$588,Requirements!$E$2:$E$588,$A48,Requirements!$J$2:$J$588,$C48)</f>
        <v>55</v>
      </c>
      <c r="F48" s="18" t="n">
        <f aca="false">COUNTIFS(Teachers!$E$2:$E$100,$A48,Teachers!$D$2:$D$100,$C48)</f>
        <v>1</v>
      </c>
      <c r="G48" s="18" t="n">
        <f aca="false">COUNTIFS(Teachers!$E$2:$E$100,$A48,Teachers!$D$2:$D$100,$C48,Teachers!$L$2:$L$100,"Active")</f>
        <v>1</v>
      </c>
      <c r="H48" s="18" t="n">
        <f aca="false">SUMIFS(Teachers!$I$2:$I$100,Teachers!$E$2:$E$100,$A48,Teachers!$D$2:$D$100,$C48)</f>
        <v>30</v>
      </c>
      <c r="I48" s="18" t="n">
        <f aca="false">SUMIFS(Teachers!$I$2:$I$100,Teachers!$E$2:$E$100,$A48,Teachers!$D$2:$D$100,$C48,Teachers!$L$2:$L$100,"Active")</f>
        <v>30</v>
      </c>
      <c r="J48" s="19" t="n">
        <f aca="false">I48-E48</f>
        <v>-25</v>
      </c>
      <c r="K48" s="20" t="n">
        <f aca="false">IF(I48=0,"n/a",E48/I48)</f>
        <v>1.83333333333333</v>
      </c>
      <c r="L48" s="21" t="n">
        <f aca="false">IF(G48=0,"n/a",ROUND(J48/(I48/G48),1))</f>
        <v>-0.8</v>
      </c>
      <c r="M48" s="22" t="str">
        <f aca="false">IF(I48=0,"NO TEACHER",IF(E48/I48&gt;1,"SHORTAGE",IF(E48/I48&gt;=$E$5,"TIGHT",IF(E48/I48&gt;=$E$6,"BALANCED","SURPLUS"))))</f>
        <v>SHORTAGE</v>
      </c>
    </row>
    <row r="49" customFormat="false" ht="15" hidden="false" customHeight="false" outlineLevel="0" collapsed="false">
      <c r="A49" s="23" t="s">
        <v>1345</v>
      </c>
      <c r="B49" s="24"/>
      <c r="C49" s="24"/>
      <c r="D49" s="24"/>
      <c r="E49" s="23" t="n">
        <f aca="false">SUM(E13:E48)</f>
        <v>2338</v>
      </c>
      <c r="F49" s="23" t="n">
        <f aca="false">SUM(F13:F48)</f>
        <v>99</v>
      </c>
      <c r="G49" s="23" t="n">
        <f aca="false">SUM(G13:G48)</f>
        <v>98</v>
      </c>
      <c r="H49" s="23" t="n">
        <f aca="false">SUM(H13:H48)</f>
        <v>2816</v>
      </c>
      <c r="I49" s="23" t="n">
        <f aca="false">SUM(I13:I48)</f>
        <v>2790</v>
      </c>
      <c r="J49" s="25" t="n">
        <f aca="false">SUM(J13:J48)</f>
        <v>452</v>
      </c>
      <c r="K49" s="24"/>
      <c r="L49" s="24"/>
      <c r="M49" s="24"/>
    </row>
  </sheetData>
  <conditionalFormatting sqref="M13:M48">
    <cfRule type="cellIs" priority="2" operator="equal" aboveAverage="0" equalAverage="0" bottom="0" percent="0" rank="0" text="" dxfId="7">
      <formula>"SHORTAGE"</formula>
    </cfRule>
    <cfRule type="cellIs" priority="3" operator="equal" aboveAverage="0" equalAverage="0" bottom="0" percent="0" rank="0" text="" dxfId="8">
      <formula>"TIGHT"</formula>
    </cfRule>
    <cfRule type="cellIs" priority="4" operator="equal" aboveAverage="0" equalAverage="0" bottom="0" percent="0" rank="0" text="" dxfId="9">
      <formula>"BALANCED"</formula>
    </cfRule>
    <cfRule type="cellIs" priority="5" operator="equal" aboveAverage="0" equalAverage="0" bottom="0" percent="0" rank="0" text="" dxfId="10">
      <formula>"SURPLUS"</formula>
    </cfRule>
    <cfRule type="cellIs" priority="6" operator="equal" aboveAverage="0" equalAverage="0" bottom="0" percent="0" rank="0" text="" dxfId="11">
      <formula>"NO TEACHER"</formula>
    </cfRule>
  </conditionalFormatting>
  <conditionalFormatting sqref="A5:A9">
    <cfRule type="cellIs" priority="7" operator="equal" aboveAverage="0" equalAverage="0" bottom="0" percent="0" rank="0" text="" dxfId="7">
      <formula>"SHORTAGE"</formula>
    </cfRule>
    <cfRule type="cellIs" priority="8" operator="equal" aboveAverage="0" equalAverage="0" bottom="0" percent="0" rank="0" text="" dxfId="8">
      <formula>"TIGHT"</formula>
    </cfRule>
    <cfRule type="cellIs" priority="9" operator="equal" aboveAverage="0" equalAverage="0" bottom="0" percent="0" rank="0" text="" dxfId="9">
      <formula>"BALANCED"</formula>
    </cfRule>
    <cfRule type="cellIs" priority="10" operator="equal" aboveAverage="0" equalAverage="0" bottom="0" percent="0" rank="0" text="" dxfId="10">
      <formula>"SURPLUS"</formula>
    </cfRule>
    <cfRule type="cellIs" priority="11" operator="equal" aboveAverage="0" equalAverage="0" bottom="0" percent="0" rank="0" text="" dxfId="11">
      <formula>"NO TEACHER"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16.15" hidden="false" customHeight="false" outlineLevel="0" collapsed="false">
      <c r="A1" s="9" t="s">
        <v>1346</v>
      </c>
    </row>
    <row r="3" customFormat="false" ht="15" hidden="false" customHeight="false" outlineLevel="0" collapsed="false">
      <c r="A3" s="16" t="s">
        <v>1347</v>
      </c>
      <c r="B3" s="26" t="n">
        <v>48</v>
      </c>
      <c r="C3" s="11" t="s">
        <v>1348</v>
      </c>
    </row>
    <row r="5" customFormat="false" ht="31.5" hidden="false" customHeight="true" outlineLevel="0" collapsed="false">
      <c r="A5" s="6" t="s">
        <v>380</v>
      </c>
      <c r="B5" s="6" t="s">
        <v>1349</v>
      </c>
      <c r="C5" s="6" t="s">
        <v>1350</v>
      </c>
      <c r="D5" s="6" t="s">
        <v>1351</v>
      </c>
      <c r="E5" s="6" t="s">
        <v>1335</v>
      </c>
      <c r="F5" s="6" t="s">
        <v>1341</v>
      </c>
      <c r="G5" s="6" t="s">
        <v>489</v>
      </c>
      <c r="H5" s="6" t="s">
        <v>1352</v>
      </c>
    </row>
    <row r="6" customFormat="false" ht="15" hidden="false" customHeight="false" outlineLevel="0" collapsed="false">
      <c r="A6" s="8" t="s">
        <v>417</v>
      </c>
      <c r="B6" s="18" t="n">
        <f aca="false">COUNTIF(Rooms!$E$2:$E$68,A6)</f>
        <v>2</v>
      </c>
      <c r="C6" s="18" t="n">
        <f aca="false">SUMIFS(Rooms!$G$2:$G$68,Rooms!$E$2:$E$68,A6)</f>
        <v>2</v>
      </c>
      <c r="D6" s="18" t="n">
        <f aca="false">C6*$B$3</f>
        <v>96</v>
      </c>
      <c r="E6" s="18" t="n">
        <f aca="false">SUMIFS(Requirements!$G$2:$G$588,Requirements!$K$2:$K$588,A6,Requirements!$L$2:$L$588,"Y")</f>
        <v>117</v>
      </c>
      <c r="F6" s="20" t="n">
        <f aca="false">IF(D6=0,"n/a",E6/D6)</f>
        <v>1.21875</v>
      </c>
      <c r="G6" s="22" t="str">
        <f aca="false">IF(D6=0,"NO ROOM",IF(E6/D6&gt;1,"SHORTAGE",IF(E6/D6&gt;=0.9,"TIGHT","BALANCED")))</f>
        <v>SHORTAGE</v>
      </c>
      <c r="H6" s="8" t="s">
        <v>1353</v>
      </c>
    </row>
    <row r="7" customFormat="false" ht="15" hidden="false" customHeight="false" outlineLevel="0" collapsed="false">
      <c r="A7" s="8" t="s">
        <v>424</v>
      </c>
      <c r="B7" s="18" t="n">
        <f aca="false">COUNTIF(Rooms!$E$2:$E$68,A7)</f>
        <v>1</v>
      </c>
      <c r="C7" s="18" t="n">
        <f aca="false">SUMIFS(Rooms!$G$2:$G$68,Rooms!$E$2:$E$68,A7)</f>
        <v>1</v>
      </c>
      <c r="D7" s="18" t="n">
        <f aca="false">C7*$B$3</f>
        <v>48</v>
      </c>
      <c r="E7" s="18" t="n">
        <f aca="false">SUMIFS(Requirements!$G$2:$G$588,Requirements!$K$2:$K$588,A7,Requirements!$L$2:$L$588,"Y")</f>
        <v>45</v>
      </c>
      <c r="F7" s="20" t="n">
        <f aca="false">IF(D7=0,"n/a",E7/D7)</f>
        <v>0.9375</v>
      </c>
      <c r="G7" s="22" t="str">
        <f aca="false">IF(D7=0,"NO ROOM",IF(E7/D7&gt;1,"SHORTAGE",IF(E7/D7&gt;=0.9,"TIGHT","BALANCED")))</f>
        <v>TIGHT</v>
      </c>
      <c r="H7" s="8" t="s">
        <v>1354</v>
      </c>
    </row>
    <row r="8" customFormat="false" ht="15" hidden="false" customHeight="false" outlineLevel="0" collapsed="false">
      <c r="A8" s="8" t="s">
        <v>429</v>
      </c>
      <c r="B8" s="18" t="n">
        <f aca="false">COUNTIF(Rooms!$E$2:$E$68,A8)</f>
        <v>1</v>
      </c>
      <c r="C8" s="18" t="n">
        <f aca="false">SUMIFS(Rooms!$G$2:$G$68,Rooms!$E$2:$E$68,A8)</f>
        <v>1</v>
      </c>
      <c r="D8" s="18" t="n">
        <f aca="false">C8*$B$3</f>
        <v>48</v>
      </c>
      <c r="E8" s="18" t="n">
        <f aca="false">SUMIFS(Requirements!$G$2:$G$588,Requirements!$K$2:$K$588,A8,Requirements!$L$2:$L$588,"Y")</f>
        <v>45</v>
      </c>
      <c r="F8" s="20" t="n">
        <f aca="false">IF(D8=0,"n/a",E8/D8)</f>
        <v>0.9375</v>
      </c>
      <c r="G8" s="22" t="str">
        <f aca="false">IF(D8=0,"NO ROOM",IF(E8/D8&gt;1,"SHORTAGE",IF(E8/D8&gt;=0.9,"TIGHT","BALANCED")))</f>
        <v>TIGHT</v>
      </c>
      <c r="H8" s="8" t="s">
        <v>1355</v>
      </c>
    </row>
    <row r="9" customFormat="false" ht="15" hidden="false" customHeight="false" outlineLevel="0" collapsed="false">
      <c r="A9" s="8" t="s">
        <v>432</v>
      </c>
      <c r="B9" s="18" t="n">
        <f aca="false">COUNTIF(Rooms!$E$2:$E$68,A9)</f>
        <v>1</v>
      </c>
      <c r="C9" s="18" t="n">
        <f aca="false">SUMIFS(Rooms!$G$2:$G$68,Rooms!$E$2:$E$68,A9)</f>
        <v>1</v>
      </c>
      <c r="D9" s="18" t="n">
        <f aca="false">C9*$B$3</f>
        <v>48</v>
      </c>
      <c r="E9" s="18" t="n">
        <f aca="false">SUMIFS(Requirements!$G$2:$G$588,Requirements!$K$2:$K$588,A9,Requirements!$L$2:$L$588,"Y")</f>
        <v>20</v>
      </c>
      <c r="F9" s="20" t="n">
        <f aca="false">IF(D9=0,"n/a",E9/D9)</f>
        <v>0.416666666666667</v>
      </c>
      <c r="G9" s="22" t="str">
        <f aca="false">IF(D9=0,"NO ROOM",IF(E9/D9&gt;1,"SHORTAGE",IF(E9/D9&gt;=0.9,"TIGHT","BALANCED")))</f>
        <v>BALANCED</v>
      </c>
      <c r="H9" s="8" t="s">
        <v>1356</v>
      </c>
    </row>
    <row r="10" customFormat="false" ht="15" hidden="false" customHeight="false" outlineLevel="0" collapsed="false">
      <c r="A10" s="8" t="s">
        <v>474</v>
      </c>
      <c r="B10" s="18" t="n">
        <f aca="false">COUNTIF(Rooms!$E$2:$E$68,A10)</f>
        <v>1</v>
      </c>
      <c r="C10" s="18" t="n">
        <f aca="false">SUMIFS(Rooms!$G$2:$G$68,Rooms!$E$2:$E$68,A10)</f>
        <v>2</v>
      </c>
      <c r="D10" s="18" t="n">
        <f aca="false">C10*$B$3</f>
        <v>96</v>
      </c>
      <c r="E10" s="18" t="n">
        <f aca="false">SUMIFS(Requirements!$G$2:$G$588,Requirements!$K$2:$K$588,A10,Requirements!$L$2:$L$588,"Y")</f>
        <v>55</v>
      </c>
      <c r="F10" s="20" t="n">
        <f aca="false">IF(D10=0,"n/a",E10/D10)</f>
        <v>0.572916666666667</v>
      </c>
      <c r="G10" s="22" t="str">
        <f aca="false">IF(D10=0,"NO ROOM",IF(E10/D10&gt;1,"SHORTAGE",IF(E10/D10&gt;=0.9,"TIGHT","BALANCED")))</f>
        <v>BALANCED</v>
      </c>
      <c r="H10" s="8" t="s">
        <v>1357</v>
      </c>
    </row>
    <row r="11" customFormat="false" ht="15" hidden="false" customHeight="false" outlineLevel="0" collapsed="false">
      <c r="A11" s="8" t="s">
        <v>470</v>
      </c>
      <c r="B11" s="18" t="n">
        <f aca="false">COUNTIF(Rooms!$E$2:$E$68,A11)</f>
        <v>1</v>
      </c>
      <c r="C11" s="18" t="n">
        <f aca="false">SUMIFS(Rooms!$G$2:$G$68,Rooms!$E$2:$E$68,A11)</f>
        <v>4</v>
      </c>
      <c r="D11" s="18" t="n">
        <f aca="false">C11*$B$3</f>
        <v>192</v>
      </c>
      <c r="E11" s="18" t="n">
        <f aca="false">SUMIFS(Requirements!$G$2:$G$588,Requirements!$K$2:$K$588,A11,Requirements!$L$2:$L$588,"Y")</f>
        <v>180</v>
      </c>
      <c r="F11" s="20" t="n">
        <f aca="false">IF(D11=0,"n/a",E11/D11)</f>
        <v>0.9375</v>
      </c>
      <c r="G11" s="22" t="str">
        <f aca="false">IF(D11=0,"NO ROOM",IF(E11/D11&gt;1,"SHORTAGE",IF(E11/D11&gt;=0.9,"TIGHT","BALANCED")))</f>
        <v>TIGHT</v>
      </c>
      <c r="H11" s="8" t="s">
        <v>1358</v>
      </c>
    </row>
    <row r="12" customFormat="false" ht="15" hidden="false" customHeight="false" outlineLevel="0" collapsed="false">
      <c r="A12" s="8" t="s">
        <v>661</v>
      </c>
      <c r="B12" s="18" t="n">
        <f aca="false">COUNTIF(Rooms!$E$2:$E$68,A12)</f>
        <v>1</v>
      </c>
      <c r="C12" s="18" t="n">
        <f aca="false">SUMIFS(Rooms!$G$2:$G$68,Rooms!$E$2:$E$68,A12)</f>
        <v>2</v>
      </c>
      <c r="D12" s="18" t="n">
        <f aca="false">C12*$B$3</f>
        <v>96</v>
      </c>
      <c r="E12" s="18" t="n">
        <f aca="false">SUMIFS(Requirements!$G$2:$G$588,Requirements!$K$2:$K$588,A12,Requirements!$L$2:$L$588,"Y")</f>
        <v>21</v>
      </c>
      <c r="F12" s="20" t="n">
        <f aca="false">IF(D12=0,"n/a",E12/D12)</f>
        <v>0.21875</v>
      </c>
      <c r="G12" s="22" t="str">
        <f aca="false">IF(D12=0,"NO ROOM",IF(E12/D12&gt;1,"SHORTAGE",IF(E12/D12&gt;=0.9,"TIGHT","BALANCED")))</f>
        <v>BALANCED</v>
      </c>
      <c r="H12" s="8" t="s">
        <v>1359</v>
      </c>
    </row>
    <row r="13" customFormat="false" ht="15" hidden="false" customHeight="false" outlineLevel="0" collapsed="false">
      <c r="A13" s="8" t="s">
        <v>465</v>
      </c>
      <c r="B13" s="18" t="n">
        <f aca="false">COUNTIF(Rooms!$E$2:$E$68,A13)</f>
        <v>1</v>
      </c>
      <c r="C13" s="18" t="n">
        <f aca="false">SUMIFS(Rooms!$G$2:$G$68,Rooms!$E$2:$E$68,A13)</f>
        <v>1</v>
      </c>
      <c r="D13" s="18" t="n">
        <f aca="false">C13*$B$3</f>
        <v>48</v>
      </c>
      <c r="E13" s="18" t="n">
        <f aca="false">SUMIFS(Requirements!$G$2:$G$588,Requirements!$K$2:$K$588,A13,Requirements!$L$2:$L$588,"Y")</f>
        <v>30</v>
      </c>
      <c r="F13" s="20" t="n">
        <f aca="false">IF(D13=0,"n/a",E13/D13)</f>
        <v>0.625</v>
      </c>
      <c r="G13" s="22" t="str">
        <f aca="false">IF(D13=0,"NO ROOM",IF(E13/D13&gt;1,"SHORTAGE",IF(E13/D13&gt;=0.9,"TIGHT","BALANCED")))</f>
        <v>BALANCED</v>
      </c>
      <c r="H13" s="8" t="s">
        <v>1360</v>
      </c>
    </row>
  </sheetData>
  <conditionalFormatting sqref="G6:G13">
    <cfRule type="cellIs" priority="2" operator="equal" aboveAverage="0" equalAverage="0" bottom="0" percent="0" rank="0" text="" dxfId="7">
      <formula>"SHORTAGE"</formula>
    </cfRule>
    <cfRule type="cellIs" priority="3" operator="equal" aboveAverage="0" equalAverage="0" bottom="0" percent="0" rank="0" text="" dxfId="8">
      <formula>"TIGHT"</formula>
    </cfRule>
    <cfRule type="cellIs" priority="4" operator="equal" aboveAverage="0" equalAverage="0" bottom="0" percent="0" rank="0" text="" dxfId="9">
      <formula>"BALANCED"</formula>
    </cfRule>
    <cfRule type="cellIs" priority="5" operator="equal" aboveAverage="0" equalAverage="0" bottom="0" percent="0" rank="0" text="" dxfId="10">
      <formula>"SURPLUS"</formula>
    </cfRule>
    <cfRule type="cellIs" priority="6" operator="equal" aboveAverage="0" equalAverage="0" bottom="0" percent="0" rank="0" text="" dxfId="11">
      <formula>"NO TEACHER"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7" min="5" style="0" width="70"/>
  </cols>
  <sheetData>
    <row r="1" customFormat="false" ht="31.5" hidden="false" customHeight="true" outlineLevel="0" collapsed="false">
      <c r="A1" s="6" t="s">
        <v>1361</v>
      </c>
      <c r="B1" s="6" t="s">
        <v>1362</v>
      </c>
      <c r="C1" s="6" t="s">
        <v>1363</v>
      </c>
      <c r="D1" s="6" t="s">
        <v>1364</v>
      </c>
      <c r="E1" s="6" t="s">
        <v>1365</v>
      </c>
      <c r="F1" s="6" t="s">
        <v>1366</v>
      </c>
      <c r="G1" s="6" t="s">
        <v>1367</v>
      </c>
    </row>
    <row r="2" customFormat="false" ht="23.85" hidden="false" customHeight="false" outlineLevel="0" collapsed="false">
      <c r="A2" s="8" t="s">
        <v>1368</v>
      </c>
      <c r="B2" s="8" t="s">
        <v>1369</v>
      </c>
      <c r="C2" s="8" t="s">
        <v>1370</v>
      </c>
      <c r="D2" s="8" t="s">
        <v>1371</v>
      </c>
      <c r="E2" s="8" t="s">
        <v>1372</v>
      </c>
      <c r="F2" s="8" t="s">
        <v>1373</v>
      </c>
      <c r="G2" s="8" t="s">
        <v>1374</v>
      </c>
    </row>
    <row r="3" customFormat="false" ht="23.85" hidden="false" customHeight="false" outlineLevel="0" collapsed="false">
      <c r="A3" s="8" t="s">
        <v>1375</v>
      </c>
      <c r="B3" s="8" t="s">
        <v>1376</v>
      </c>
      <c r="C3" s="8" t="s">
        <v>1370</v>
      </c>
      <c r="D3" s="8" t="s">
        <v>1377</v>
      </c>
      <c r="E3" s="8" t="s">
        <v>1378</v>
      </c>
      <c r="F3" s="8" t="s">
        <v>1379</v>
      </c>
      <c r="G3" s="8" t="s">
        <v>1380</v>
      </c>
    </row>
    <row r="4" customFormat="false" ht="23.85" hidden="false" customHeight="false" outlineLevel="0" collapsed="false">
      <c r="A4" s="8" t="s">
        <v>1381</v>
      </c>
      <c r="B4" s="8" t="s">
        <v>1382</v>
      </c>
      <c r="C4" s="8" t="s">
        <v>1383</v>
      </c>
      <c r="D4" s="8" t="s">
        <v>1384</v>
      </c>
      <c r="E4" s="8" t="s">
        <v>1385</v>
      </c>
      <c r="F4" s="8" t="s">
        <v>1386</v>
      </c>
      <c r="G4" s="8" t="s">
        <v>1387</v>
      </c>
    </row>
    <row r="5" customFormat="false" ht="35.05" hidden="false" customHeight="false" outlineLevel="0" collapsed="false">
      <c r="A5" s="8" t="s">
        <v>1388</v>
      </c>
      <c r="B5" s="8" t="s">
        <v>1369</v>
      </c>
      <c r="C5" s="8" t="s">
        <v>1370</v>
      </c>
      <c r="D5" s="8" t="s">
        <v>1389</v>
      </c>
      <c r="E5" s="8" t="s">
        <v>1390</v>
      </c>
      <c r="F5" s="8" t="s">
        <v>1391</v>
      </c>
      <c r="G5" s="8" t="s">
        <v>1392</v>
      </c>
    </row>
    <row r="6" customFormat="false" ht="23.85" hidden="false" customHeight="false" outlineLevel="0" collapsed="false">
      <c r="A6" s="8" t="s">
        <v>1393</v>
      </c>
      <c r="B6" s="8" t="s">
        <v>1369</v>
      </c>
      <c r="C6" s="8" t="s">
        <v>1370</v>
      </c>
      <c r="D6" s="8" t="s">
        <v>1394</v>
      </c>
      <c r="E6" s="8" t="s">
        <v>1395</v>
      </c>
      <c r="F6" s="8" t="s">
        <v>1396</v>
      </c>
      <c r="G6" s="8" t="s">
        <v>1397</v>
      </c>
    </row>
    <row r="7" customFormat="false" ht="23.85" hidden="false" customHeight="false" outlineLevel="0" collapsed="false">
      <c r="A7" s="8" t="s">
        <v>1398</v>
      </c>
      <c r="B7" s="8" t="s">
        <v>1369</v>
      </c>
      <c r="C7" s="8" t="s">
        <v>1383</v>
      </c>
      <c r="D7" s="8" t="s">
        <v>459</v>
      </c>
      <c r="E7" s="8" t="s">
        <v>1399</v>
      </c>
      <c r="F7" s="8" t="s">
        <v>1400</v>
      </c>
      <c r="G7" s="8" t="s">
        <v>1401</v>
      </c>
    </row>
    <row r="8" customFormat="false" ht="23.85" hidden="false" customHeight="false" outlineLevel="0" collapsed="false">
      <c r="A8" s="8" t="s">
        <v>1402</v>
      </c>
      <c r="B8" s="8" t="s">
        <v>1369</v>
      </c>
      <c r="C8" s="8" t="s">
        <v>1370</v>
      </c>
      <c r="D8" s="8" t="s">
        <v>464</v>
      </c>
      <c r="E8" s="8" t="s">
        <v>1403</v>
      </c>
      <c r="F8" s="8" t="s">
        <v>1404</v>
      </c>
      <c r="G8" s="8" t="s">
        <v>1405</v>
      </c>
    </row>
    <row r="9" customFormat="false" ht="15" hidden="false" customHeight="false" outlineLevel="0" collapsed="false">
      <c r="A9" s="8" t="s">
        <v>1406</v>
      </c>
      <c r="B9" s="8" t="s">
        <v>1369</v>
      </c>
      <c r="C9" s="8" t="s">
        <v>1383</v>
      </c>
      <c r="D9" s="8" t="s">
        <v>474</v>
      </c>
      <c r="E9" s="8" t="s">
        <v>1407</v>
      </c>
      <c r="F9" s="8" t="s">
        <v>1408</v>
      </c>
      <c r="G9" s="8" t="s">
        <v>1409</v>
      </c>
    </row>
    <row r="10" customFormat="false" ht="23.85" hidden="false" customHeight="false" outlineLevel="0" collapsed="false">
      <c r="A10" s="8" t="s">
        <v>1410</v>
      </c>
      <c r="B10" s="8" t="s">
        <v>1411</v>
      </c>
      <c r="C10" s="8" t="s">
        <v>1383</v>
      </c>
      <c r="D10" s="8" t="s">
        <v>1412</v>
      </c>
      <c r="E10" s="8" t="s">
        <v>1413</v>
      </c>
      <c r="F10" s="8" t="s">
        <v>1414</v>
      </c>
      <c r="G10" s="8" t="s">
        <v>1415</v>
      </c>
    </row>
    <row r="11" customFormat="false" ht="23.85" hidden="false" customHeight="false" outlineLevel="0" collapsed="false">
      <c r="A11" s="8" t="s">
        <v>1416</v>
      </c>
      <c r="B11" s="8" t="s">
        <v>1411</v>
      </c>
      <c r="C11" s="8" t="s">
        <v>1417</v>
      </c>
      <c r="D11" s="8" t="s">
        <v>1418</v>
      </c>
      <c r="E11" s="8" t="s">
        <v>1419</v>
      </c>
      <c r="F11" s="8" t="s">
        <v>1420</v>
      </c>
      <c r="G11" s="8" t="s">
        <v>1415</v>
      </c>
    </row>
    <row r="12" customFormat="false" ht="23.85" hidden="false" customHeight="false" outlineLevel="0" collapsed="false">
      <c r="A12" s="8" t="s">
        <v>1421</v>
      </c>
      <c r="B12" s="8" t="s">
        <v>1411</v>
      </c>
      <c r="C12" s="8" t="s">
        <v>1417</v>
      </c>
      <c r="D12" s="8" t="s">
        <v>1422</v>
      </c>
      <c r="E12" s="8" t="s">
        <v>1423</v>
      </c>
      <c r="F12" s="8" t="s">
        <v>1424</v>
      </c>
      <c r="G12" s="8" t="s">
        <v>1415</v>
      </c>
    </row>
    <row r="13" customFormat="false" ht="23.85" hidden="false" customHeight="false" outlineLevel="0" collapsed="false">
      <c r="A13" s="8" t="s">
        <v>1425</v>
      </c>
      <c r="B13" s="8" t="s">
        <v>1411</v>
      </c>
      <c r="C13" s="8" t="s">
        <v>1417</v>
      </c>
      <c r="D13" s="8" t="s">
        <v>1426</v>
      </c>
      <c r="E13" s="8" t="s">
        <v>1427</v>
      </c>
      <c r="F13" s="8" t="s">
        <v>1428</v>
      </c>
      <c r="G13" s="8" t="s">
        <v>1415</v>
      </c>
    </row>
    <row r="14" customFormat="false" ht="23.85" hidden="false" customHeight="false" outlineLevel="0" collapsed="false">
      <c r="A14" s="8" t="s">
        <v>1429</v>
      </c>
      <c r="B14" s="8" t="s">
        <v>1411</v>
      </c>
      <c r="C14" s="8" t="s">
        <v>1383</v>
      </c>
      <c r="D14" s="8" t="s">
        <v>1430</v>
      </c>
      <c r="E14" s="8" t="s">
        <v>1431</v>
      </c>
      <c r="F14" s="8" t="s">
        <v>1432</v>
      </c>
      <c r="G14" s="8" t="s">
        <v>1415</v>
      </c>
    </row>
    <row r="15" customFormat="false" ht="46.25" hidden="false" customHeight="false" outlineLevel="0" collapsed="false">
      <c r="A15" s="8" t="s">
        <v>1433</v>
      </c>
      <c r="B15" s="8" t="s">
        <v>1434</v>
      </c>
      <c r="C15" s="8" t="s">
        <v>1383</v>
      </c>
      <c r="D15" s="8" t="s">
        <v>1435</v>
      </c>
      <c r="E15" s="8" t="s">
        <v>1436</v>
      </c>
      <c r="F15" s="8" t="s">
        <v>1437</v>
      </c>
      <c r="G15" s="8" t="s">
        <v>1438</v>
      </c>
    </row>
    <row r="16" customFormat="false" ht="23.85" hidden="false" customHeight="false" outlineLevel="0" collapsed="false">
      <c r="A16" s="8" t="s">
        <v>1439</v>
      </c>
      <c r="B16" s="8" t="s">
        <v>1440</v>
      </c>
      <c r="C16" s="8" t="s">
        <v>1417</v>
      </c>
      <c r="D16" s="8" t="s">
        <v>1441</v>
      </c>
      <c r="E16" s="8" t="s">
        <v>1442</v>
      </c>
      <c r="F16" s="8" t="s">
        <v>1443</v>
      </c>
      <c r="G16" s="8" t="s">
        <v>1444</v>
      </c>
    </row>
    <row r="17" customFormat="false" ht="35.05" hidden="false" customHeight="false" outlineLevel="0" collapsed="false">
      <c r="A17" s="8" t="s">
        <v>1445</v>
      </c>
      <c r="B17" s="8" t="s">
        <v>1446</v>
      </c>
      <c r="C17" s="8" t="s">
        <v>1383</v>
      </c>
      <c r="D17" s="8" t="s">
        <v>1447</v>
      </c>
      <c r="E17" s="8" t="s">
        <v>1448</v>
      </c>
      <c r="F17" s="8" t="s">
        <v>1449</v>
      </c>
      <c r="G17" s="8" t="s">
        <v>1450</v>
      </c>
    </row>
    <row r="18" customFormat="false" ht="35.05" hidden="false" customHeight="false" outlineLevel="0" collapsed="false">
      <c r="A18" s="8" t="s">
        <v>1451</v>
      </c>
      <c r="B18" s="8" t="s">
        <v>1452</v>
      </c>
      <c r="C18" s="8" t="s">
        <v>1383</v>
      </c>
      <c r="D18" s="8" t="s">
        <v>1453</v>
      </c>
      <c r="E18" s="8" t="s">
        <v>1454</v>
      </c>
      <c r="F18" s="8" t="s">
        <v>1455</v>
      </c>
      <c r="G18" s="8" t="s">
        <v>1456</v>
      </c>
    </row>
    <row r="19" customFormat="false" ht="23.85" hidden="false" customHeight="false" outlineLevel="0" collapsed="false">
      <c r="A19" s="8" t="s">
        <v>1457</v>
      </c>
      <c r="B19" s="8" t="s">
        <v>1452</v>
      </c>
      <c r="C19" s="8" t="s">
        <v>1417</v>
      </c>
      <c r="D19" s="8" t="s">
        <v>1458</v>
      </c>
      <c r="E19" s="8" t="s">
        <v>1459</v>
      </c>
      <c r="F19" s="8" t="s">
        <v>1460</v>
      </c>
      <c r="G19" s="8" t="s">
        <v>1461</v>
      </c>
    </row>
    <row r="20" customFormat="false" ht="23.85" hidden="false" customHeight="false" outlineLevel="0" collapsed="false">
      <c r="A20" s="8" t="s">
        <v>1462</v>
      </c>
      <c r="B20" s="8" t="s">
        <v>1463</v>
      </c>
      <c r="C20" s="8" t="s">
        <v>1370</v>
      </c>
      <c r="D20" s="8" t="s">
        <v>1464</v>
      </c>
      <c r="E20" s="8" t="s">
        <v>1465</v>
      </c>
      <c r="F20" s="8" t="s">
        <v>1466</v>
      </c>
      <c r="G20" s="8" t="s">
        <v>1467</v>
      </c>
    </row>
    <row r="21" customFormat="false" ht="15" hidden="false" customHeight="false" outlineLevel="0" collapsed="false">
      <c r="A21" s="8" t="s">
        <v>1468</v>
      </c>
      <c r="B21" s="8" t="s">
        <v>1463</v>
      </c>
      <c r="C21" s="8" t="s">
        <v>1383</v>
      </c>
      <c r="D21" s="8" t="s">
        <v>1469</v>
      </c>
      <c r="E21" s="8" t="s">
        <v>1470</v>
      </c>
      <c r="F21" s="8" t="s">
        <v>1471</v>
      </c>
      <c r="G21" s="8" t="s">
        <v>1472</v>
      </c>
    </row>
    <row r="22" customFormat="false" ht="23.85" hidden="false" customHeight="false" outlineLevel="0" collapsed="false">
      <c r="A22" s="8" t="s">
        <v>1473</v>
      </c>
      <c r="B22" s="8" t="s">
        <v>1463</v>
      </c>
      <c r="C22" s="8" t="s">
        <v>1383</v>
      </c>
      <c r="D22" s="8" t="s">
        <v>1474</v>
      </c>
      <c r="E22" s="8" t="s">
        <v>1475</v>
      </c>
      <c r="F22" s="8" t="s">
        <v>1476</v>
      </c>
      <c r="G22" s="8" t="s">
        <v>1477</v>
      </c>
    </row>
    <row r="23" customFormat="false" ht="35.05" hidden="false" customHeight="false" outlineLevel="0" collapsed="false">
      <c r="A23" s="8" t="s">
        <v>1478</v>
      </c>
      <c r="B23" s="8" t="s">
        <v>1479</v>
      </c>
      <c r="C23" s="8" t="s">
        <v>1383</v>
      </c>
      <c r="D23" s="8" t="s">
        <v>1480</v>
      </c>
      <c r="E23" s="8" t="s">
        <v>1481</v>
      </c>
      <c r="F23" s="8" t="s">
        <v>1482</v>
      </c>
      <c r="G23" s="8" t="s">
        <v>1483</v>
      </c>
    </row>
    <row r="24" customFormat="false" ht="23.85" hidden="false" customHeight="false" outlineLevel="0" collapsed="false">
      <c r="A24" s="8" t="s">
        <v>1484</v>
      </c>
      <c r="B24" s="8" t="s">
        <v>1479</v>
      </c>
      <c r="C24" s="8" t="s">
        <v>1417</v>
      </c>
      <c r="D24" s="8" t="s">
        <v>1485</v>
      </c>
      <c r="E24" s="8" t="s">
        <v>1486</v>
      </c>
      <c r="F24" s="8" t="s">
        <v>1487</v>
      </c>
      <c r="G24" s="8" t="s">
        <v>1488</v>
      </c>
    </row>
  </sheetData>
  <autoFilter ref="A1:G24"/>
  <conditionalFormatting sqref="C2:C24">
    <cfRule type="cellIs" priority="2" operator="equal" aboveAverage="0" equalAverage="0" bottom="0" percent="0" rank="0" text="" dxfId="7">
      <formula>"High"</formula>
    </cfRule>
    <cfRule type="cellIs" priority="3" operator="equal" aboveAverage="0" equalAverage="0" bottom="0" percent="0" rank="0" text="" dxfId="8">
      <formula>"Medium"</formula>
    </cfRule>
    <cfRule type="cellIs" priority="4" operator="equal" aboveAverage="0" equalAverage="0" bottom="0" percent="0" rank="0" text="" dxfId="15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2026-10-24T15:21:45Z</dcterms:created>
  <dc:creator>openpyxl</dc:creator>
  <dc:description/>
  <dc:language>en-US</dc:language>
  <cp:lastModifiedBy/>
  <dcterms:modified xsi:type="dcterms:W3CDTF">2026-10-24T15:21:46Z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